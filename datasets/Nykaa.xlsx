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ll Data" sheetId="2" state="visible" r:id="rId4"/>
    <sheet name="Category" sheetId="3" state="visible" r:id="rId5"/>
    <sheet name="Device Mix" sheetId="4" state="visible" r:id="rId6"/>
    <sheet name="Membership" sheetId="5" state="visible" r:id="rId7"/>
    <sheet name="City" sheetId="6" state="visible" r:id="rId8"/>
    <sheet name="Top Products" sheetId="7" state="visible" r:id="rId9"/>
    <sheet name="Ratings &amp; Quality" sheetId="8" state="visible" r:id="rId10"/>
    <sheet name="Contract Renewal" sheetId="9" state="visible" r:id="rId11"/>
    <sheet name="Note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<sst xmlns="http://schemas.openxmlformats.org/spreadsheetml/2006/main" count="215" uniqueCount="165">
  <si>
    <t xml:space="preserve">Nykaa - Descriptive Analytics Summary (Simulated Data)</t>
  </si>
  <si>
    <t xml:space="preserve">30 days | 60 products | 10 categories | 8 cities. Blue = from report, black = formula linked to other sheets.</t>
  </si>
  <si>
    <t xml:space="preserve">Metric</t>
  </si>
  <si>
    <t xml:space="preserve">Value</t>
  </si>
  <si>
    <t xml:space="preserve">Note</t>
  </si>
  <si>
    <t xml:space="preserve">Total orders - sum of categories</t>
  </si>
  <si>
    <t xml:space="preserve">Report headline says ~6.8M</t>
  </si>
  <si>
    <t xml:space="preserve">Total orders - sum of devices</t>
  </si>
  <si>
    <t xml:space="preserve">Differs slightly from category total</t>
  </si>
  <si>
    <t xml:space="preserve">Total GMV (INR Cr) - membership split</t>
  </si>
  <si>
    <t xml:space="preserve">Report headline: ~Rs. 495 Cr</t>
  </si>
  <si>
    <t xml:space="preserve">Total revenue (INR Cr) - category table</t>
  </si>
  <si>
    <t xml:space="preserve">Does NOT match 495 Cr headline - see Notes</t>
  </si>
  <si>
    <t xml:space="preserve">Average product rating (out of 5)</t>
  </si>
  <si>
    <t xml:space="preserve">Section 5</t>
  </si>
  <si>
    <t xml:space="preserve">Top single-day product</t>
  </si>
  <si>
    <t xml:space="preserve">Nykaa Cosmetics Face Mist</t>
  </si>
  <si>
    <t xml:space="preserve">34,399 orders</t>
  </si>
  <si>
    <t xml:space="preserve">Cities tracked</t>
  </si>
  <si>
    <t xml:space="preserve">Bangalore, Delhi NCR, Mumbai, Hyderabad, Pune, Chennai, Kolkata, Ahmedabad</t>
  </si>
  <si>
    <t xml:space="preserve">Listings at renewal risk (of 60)</t>
  </si>
  <si>
    <t xml:space="preserve">Section 7</t>
  </si>
  <si>
    <t xml:space="preserve">Peak ordering day</t>
  </si>
  <si>
    <t xml:space="preserve">Saturday</t>
  </si>
  <si>
    <t xml:space="preserve">Tuesday softest</t>
  </si>
  <si>
    <t xml:space="preserve">Leading device</t>
  </si>
  <si>
    <t xml:space="preserve">Android App</t>
  </si>
  <si>
    <t xml:space="preserve">Highest-return category</t>
  </si>
  <si>
    <t xml:space="preserve">Makeup</t>
  </si>
  <si>
    <t xml:space="preserve">~9.8% returned; lowest is Wellness &amp; Nutrition ~3.5%</t>
  </si>
  <si>
    <t xml:space="preserve">Deepest Nykaa Prive adoption</t>
  </si>
  <si>
    <t xml:space="preserve">Mumbai</t>
  </si>
  <si>
    <t xml:space="preserve">40%; leanest is Kolkata 14%</t>
  </si>
  <si>
    <t xml:space="preserve">Nykaa Prive share of GMV</t>
  </si>
  <si>
    <t xml:space="preserve">Section 6.7</t>
  </si>
  <si>
    <t xml:space="preserve">Top revenue category</t>
  </si>
  <si>
    <t xml:space="preserve">Luxury Beauty</t>
  </si>
  <si>
    <t xml:space="preserve">All Data - every table stacked on one sheet (live links to the individual sheets)</t>
  </si>
  <si>
    <t xml:space="preserve">Summary</t>
  </si>
  <si>
    <t xml:space="preserve">Category</t>
  </si>
  <si>
    <t xml:space="preserve">Device Mix</t>
  </si>
  <si>
    <t xml:space="preserve">Membership</t>
  </si>
  <si>
    <t xml:space="preserve">City</t>
  </si>
  <si>
    <t xml:space="preserve">Top Products</t>
  </si>
  <si>
    <t xml:space="preserve">Rating Risk</t>
  </si>
  <si>
    <t xml:space="preserve">Declining Ratings</t>
  </si>
  <si>
    <t xml:space="preserve">Contract Renewal</t>
  </si>
  <si>
    <t xml:space="preserve">Category Performance (30 days)</t>
  </si>
  <si>
    <t xml:space="preserve">Source: Nykaa Descriptive Analytics Report (simulated data). Blue = value taken from report; black = formula. Report Appendix B / Fig 8-9.</t>
  </si>
  <si>
    <t xml:space="preserve">Orders (30-day)</t>
  </si>
  <si>
    <t xml:space="preserve">Revenue (INR)</t>
  </si>
  <si>
    <t xml:space="preserve">Revenue (INR Cr)</t>
  </si>
  <si>
    <t xml:space="preserve">Share of Orders</t>
  </si>
  <si>
    <t xml:space="preserve">Share of Revenue</t>
  </si>
  <si>
    <t xml:space="preserve">Revenue per Order (INR)</t>
  </si>
  <si>
    <t xml:space="preserve">Fragrance</t>
  </si>
  <si>
    <t xml:space="preserve">Appliances &amp; Tools</t>
  </si>
  <si>
    <t xml:space="preserve">Baby Care</t>
  </si>
  <si>
    <t xml:space="preserve">Wellness &amp; Nutrition</t>
  </si>
  <si>
    <t xml:space="preserve">Bath &amp; Body</t>
  </si>
  <si>
    <t xml:space="preserve">Skincare</t>
  </si>
  <si>
    <t xml:space="preserve">Men's Grooming</t>
  </si>
  <si>
    <t xml:space="preserve">Haircare</t>
  </si>
  <si>
    <t xml:space="preserve">Total</t>
  </si>
  <si>
    <t xml:space="preserve">Revenue per Order = revenue / orders (proxy for average order value).</t>
  </si>
  <si>
    <t xml:space="preserve">Device / Platform Mix</t>
  </si>
  <si>
    <t xml:space="preserve">Source: Nykaa Descriptive Analytics Report (simulated data). Blue = value taken from report; black = formula. Report Section 6.4.</t>
  </si>
  <si>
    <t xml:space="preserve">Device / Platform</t>
  </si>
  <si>
    <t xml:space="preserve">Orders</t>
  </si>
  <si>
    <t xml:space="preserve">Share of Orders (calc)</t>
  </si>
  <si>
    <t xml:space="preserve">Share Reported in Report</t>
  </si>
  <si>
    <t xml:space="preserve">iOS App</t>
  </si>
  <si>
    <t xml:space="preserve">Mobile Web</t>
  </si>
  <si>
    <t xml:space="preserve">Desktop Web</t>
  </si>
  <si>
    <t xml:space="preserve">WhatsApp Shopping</t>
  </si>
  <si>
    <t xml:space="preserve">Revenue by Membership Tier</t>
  </si>
  <si>
    <t xml:space="preserve">Source: Nykaa Descriptive Analytics Report (simulated data). Blue = value taken from report; black = formula. Report Section 6.7.</t>
  </si>
  <si>
    <t xml:space="preserve">Membership Tier</t>
  </si>
  <si>
    <t xml:space="preserve">GMV (INR)</t>
  </si>
  <si>
    <t xml:space="preserve">GMV (INR Cr)</t>
  </si>
  <si>
    <t xml:space="preserve">GMV Share (calc)</t>
  </si>
  <si>
    <t xml:space="preserve">GMV Share Reported</t>
  </si>
  <si>
    <t xml:space="preserve">Non-Member</t>
  </si>
  <si>
    <t xml:space="preserve">Nykaa Prive</t>
  </si>
  <si>
    <t xml:space="preserve">City-Wise Demand &amp; Nykaa Prive Adoption</t>
  </si>
  <si>
    <t xml:space="preserve">Order counts are APPROXIMATE values read off Fig 7 (report gives no table). Prive adoption % is from Fig 13.</t>
  </si>
  <si>
    <t xml:space="preserve">Orders (Millions, approx.)</t>
  </si>
  <si>
    <t xml:space="preserve">Nykaa Prive Adoption</t>
  </si>
  <si>
    <t xml:space="preserve">Hyderabad</t>
  </si>
  <si>
    <t xml:space="preserve">Chennai</t>
  </si>
  <si>
    <t xml:space="preserve">Pune</t>
  </si>
  <si>
    <t xml:space="preserve">Bangalore</t>
  </si>
  <si>
    <t xml:space="preserve">Kolkata</t>
  </si>
  <si>
    <t xml:space="preserve">Delhi NCR</t>
  </si>
  <si>
    <t xml:space="preserve">Ahmedabad</t>
  </si>
  <si>
    <t xml:space="preserve">Total row: Prive adoption shown is a simple (unweighted) average of cities.</t>
  </si>
  <si>
    <t xml:space="preserve">Most-Ordered Products - Most Recent Day</t>
  </si>
  <si>
    <t xml:space="preserve">Orders: #1 exact (34,399 per report); #2-10 approximate, read off Fig 3. New customers from Fig 4 / table in Section 4.1 (top 6 exact).</t>
  </si>
  <si>
    <t xml:space="preserve">Rank</t>
  </si>
  <si>
    <t xml:space="preserve">Product</t>
  </si>
  <si>
    <t xml:space="preserve">Orders (most recent day)</t>
  </si>
  <si>
    <t xml:space="preserve">Orders Basis</t>
  </si>
  <si>
    <t xml:space="preserve">Share of Top-10 Orders</t>
  </si>
  <si>
    <t xml:space="preserve">New Customers</t>
  </si>
  <si>
    <t xml:space="preserve">Category (as listed in report)</t>
  </si>
  <si>
    <t xml:space="preserve">Exact</t>
  </si>
  <si>
    <t xml:space="preserve">L'Oreal Paris Hydrating Face Wash</t>
  </si>
  <si>
    <t xml:space="preserve">Approx.</t>
  </si>
  <si>
    <t xml:space="preserve">Maybelline Beard Oil</t>
  </si>
  <si>
    <t xml:space="preserve">Forest Essentials Eyeliner</t>
  </si>
  <si>
    <t xml:space="preserve">Kay Beauty Vitamin C Serum</t>
  </si>
  <si>
    <t xml:space="preserve">Minimalist Hair Oil</t>
  </si>
  <si>
    <t xml:space="preserve">n/a</t>
  </si>
  <si>
    <t xml:space="preserve">Colorbar Face Mist</t>
  </si>
  <si>
    <t xml:space="preserve">Faces Canada Matte Lipstick</t>
  </si>
  <si>
    <t xml:space="preserve">Kay Beauty Eau de Parfum</t>
  </si>
  <si>
    <t xml:space="preserve">MyGlamm Under Eye Cream</t>
  </si>
  <si>
    <t xml:space="preserve">Top-10 total</t>
  </si>
  <si>
    <t xml:space="preserve">Other products in the New Customers top 10 (Fig 4, no values given): Dot &amp; Key Lip Balm.</t>
  </si>
  <si>
    <t xml:space="preserve">Category labels are exactly as printed in the report; several look mismatched (e.g. Face Mist under Baby Care).</t>
  </si>
  <si>
    <t xml:space="preserve">Source: Nykaa Descriptive Analytics Report (simulated data). Blue = value taken from report; black = formula. Sections 5.1-5.2. Average rating across all product-days: 4.01 / 5.</t>
  </si>
  <si>
    <t xml:space="preserve">Monthly Orders</t>
  </si>
  <si>
    <t xml:space="preserve">Current Rating</t>
  </si>
  <si>
    <t xml:space="preserve">Risk Threshold</t>
  </si>
  <si>
    <t xml:space="preserve">Below Threshold?</t>
  </si>
  <si>
    <t xml:space="preserve">Declining 7-day Trend?</t>
  </si>
  <si>
    <t xml:space="preserve">Product ID</t>
  </si>
  <si>
    <t xml:space="preserve">Sugar Hair Styling Cream</t>
  </si>
  <si>
    <t xml:space="preserve">Yes</t>
  </si>
  <si>
    <t xml:space="preserve">NYKA-4026</t>
  </si>
  <si>
    <t xml:space="preserve">Dot &amp; Key Lip Balm</t>
  </si>
  <si>
    <t xml:space="preserve">NYKA-4015</t>
  </si>
  <si>
    <t xml:space="preserve">L'Oreal Paris Kajal</t>
  </si>
  <si>
    <t xml:space="preserve">NYKA-4014</t>
  </si>
  <si>
    <t xml:space="preserve">No</t>
  </si>
  <si>
    <t xml:space="preserve">Declining-rating products (6, Fig 6)</t>
  </si>
  <si>
    <t xml:space="preserve">NYKA-4031</t>
  </si>
  <si>
    <t xml:space="preserve">Re'Equil Shampoo</t>
  </si>
  <si>
    <t xml:space="preserve">NYKA-4048</t>
  </si>
  <si>
    <t xml:space="preserve">MyGlamm Kajal</t>
  </si>
  <si>
    <t xml:space="preserve">NYKA-4052</t>
  </si>
  <si>
    <t xml:space="preserve">Lakme Hair Oil</t>
  </si>
  <si>
    <t xml:space="preserve">Risk threshold 3.5 is the report's sub-3.5 definition (blue input - editable).</t>
  </si>
  <si>
    <t xml:space="preserve">Brand Listings Closest to Contract Renewal</t>
  </si>
  <si>
    <t xml:space="preserve">Days remaining are APPROXIMATE values read off Fig 16. Status counts: 55 Active / 5 Renewal Due Soon / 0 Under Quality Review (Fig 15).</t>
  </si>
  <si>
    <t xml:space="preserve">Product Listing</t>
  </si>
  <si>
    <t xml:space="preserve">Est. Days to Renewal</t>
  </si>
  <si>
    <t xml:space="preserve">Renewal Trigger (days)</t>
  </si>
  <si>
    <t xml:space="preserve">Status</t>
  </si>
  <si>
    <t xml:space="preserve">Biotique Kajal</t>
  </si>
  <si>
    <t xml:space="preserve">L'Oreal Paris BB Cream</t>
  </si>
  <si>
    <t xml:space="preserve">Nivea Beard Oil</t>
  </si>
  <si>
    <t xml:space="preserve">Colorbar Kajal Pencil</t>
  </si>
  <si>
    <t xml:space="preserve">WOW Skin Science BB Cream</t>
  </si>
  <si>
    <t xml:space="preserve">MyGlamm Hair Mask</t>
  </si>
  <si>
    <t xml:space="preserve">Listings due soon (of 10 shown)</t>
  </si>
  <si>
    <t xml:space="preserve">Data Notes &amp; Report Inconsistencies</t>
  </si>
  <si>
    <t xml:space="preserve">1. All data is synthetic (per the report's Appendix A); no real Nykaa data was used.</t>
  </si>
  <si>
    <t xml:space="preserve">2. Daily orders (Fig 1), daily revenue (Fig 2) and the rating trend lines (Fig 6) exist only as charts in the report with no underlying numbers, so they are not reproduced here.</t>
  </si>
  <si>
    <t xml:space="preserve">3. Values labelled 'approx.' (city orders, top-10 orders #2-10, renewal days) were estimated by eye from charts - treat as indicative only.</t>
  </si>
  <si>
    <t xml:space="preserve">4. Inconsistency: the category revenue table totals ~Rs. 648 Cr, but the headline GMV and membership split total ~Rs. 495 Cr.</t>
  </si>
  <si>
    <t xml:space="preserve">5. Inconsistency: category orders total ~6.88M vs. device-mix total ~6.84M (headline ~6.8M).</t>
  </si>
  <si>
    <t xml:space="preserve">6. Inconsistency: Section 6.2 insight names Skincare and Makeup as the volume backbone, but the table shows Bath &amp; Body and Baby Care with the most orders.</t>
  </si>
  <si>
    <t xml:space="preserve">7. Inconsistency: Section 6 text says city demand was 'fairly balanced' while the chart shows Mumbai at ~8x Ahmedabad.</t>
  </si>
  <si>
    <t xml:space="preserve">8. Product-to-category mapping in Section 4.1 looks mismatched (e.g. Face Mist under Baby Care, Eyeliner under Bath &amp; Body), likely a simulation artifact.</t>
  </si>
</sst>
</file>

<file path=xl/styles.xml><?xml version="1.0" encoding="utf-8"?>
<styleSheet xmlns="http://schemas.openxmlformats.org/spreadsheetml/2006/main">
  <numFmts count="7">
    <numFmt numFmtId="164" formatCode="General"/>
    <numFmt numFmtId="165" formatCode="#,##0"/>
    <numFmt numFmtId="166" formatCode="#,##0.0"/>
    <numFmt numFmtId="167" formatCode="0.00"/>
    <numFmt numFmtId="168" formatCode="0"/>
    <numFmt numFmtId="169" formatCode="0.0%"/>
    <numFmt numFmtId="170" formatCode="0%"/>
  </numFmts>
  <fonts count="13">
    <font>
      <sz val="11"/>
      <color theme="1"/>
      <name val="Calibri"/>
      <family val="2"/>
      <charset val="1"/>
    </font>
    <font>
      <sz val="10"/>
      <name val="Arial"/>
      <family val="0"/>
    </font>
    <font>
      <sz val="10"/>
      <name val="Arial"/>
      <family val="0"/>
    </font>
    <font>
      <sz val="10"/>
      <name val="Arial"/>
      <family val="0"/>
    </font>
    <font>
      <b val="true"/>
      <sz val="14"/>
      <color rgb="FFFF2A7A"/>
      <name val="Arial"/>
      <family val="0"/>
      <charset val="1"/>
    </font>
    <font>
      <i val="true"/>
      <sz val="9"/>
      <color rgb="FF666666"/>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2"/>
      <color rgb="FFFF2A7A"/>
      <name val="Arial"/>
      <family val="0"/>
      <charset val="1"/>
    </font>
    <font>
      <b val="true"/>
      <sz val="10"/>
      <name val="Arial"/>
      <family val="0"/>
      <charset val="1"/>
    </font>
    <font>
      <b val="true"/>
      <sz val="18"/>
      <color rgb="FF000000"/>
      <name val="Calibri"/>
      <family val="2"/>
    </font>
    <font>
      <sz val="10"/>
      <color rgb="FF000000"/>
      <name val="Calibri"/>
      <family val="2"/>
    </font>
  </fonts>
  <fills count="3">
    <fill>
      <patternFill patternType="none"/>
    </fill>
    <fill>
      <patternFill patternType="gray125"/>
    </fill>
    <fill>
      <patternFill patternType="solid">
        <fgColor rgb="FFFF2A7A"/>
        <bgColor rgb="FFFF00FF"/>
      </patternFill>
    </fill>
  </fills>
  <borders count="2">
    <border diagonalUp="false" diagonalDown="false">
      <left/>
      <right/>
      <top/>
      <bottom/>
      <diagonal/>
    </border>
    <border diagonalUp="false" diagonalDown="false">
      <left style="thin">
        <color rgb="FFDDDDDD"/>
      </left>
      <right style="thin">
        <color rgb="FFDDDDDD"/>
      </right>
      <top style="thin">
        <color rgb="FFDDDDDD"/>
      </top>
      <bottom style="thin">
        <color rgb="FFDDD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6" fontId="7" fillId="0" borderId="1" xfId="0" applyFont="true" applyBorder="true" applyAlignment="true" applyProtection="false">
      <alignment horizontal="right" vertical="bottom" textRotation="0" wrapText="false" indent="0" shrinkToFit="false"/>
      <protection locked="true" hidden="false"/>
    </xf>
    <xf numFmtId="167" fontId="8" fillId="0" borderId="1" xfId="0" applyFont="true" applyBorder="true" applyAlignment="true" applyProtection="false">
      <alignment horizontal="right" vertical="bottom" textRotation="0" wrapText="false" indent="0" shrinkToFit="false"/>
      <protection locked="true" hidden="false"/>
    </xf>
    <xf numFmtId="164" fontId="8" fillId="0" borderId="1" xfId="0" applyFont="true" applyBorder="true" applyAlignment="true" applyProtection="false">
      <alignment horizontal="right" vertical="bottom" textRotation="0" wrapText="false" indent="0" shrinkToFit="false"/>
      <protection locked="true" hidden="false"/>
    </xf>
    <xf numFmtId="168" fontId="8" fillId="0" borderId="1" xfId="0" applyFont="true" applyBorder="true" applyAlignment="true" applyProtection="false">
      <alignment horizontal="right" vertical="bottom" textRotation="0" wrapText="false" indent="0" shrinkToFit="false"/>
      <protection locked="true" hidden="false"/>
    </xf>
    <xf numFmtId="169" fontId="7" fillId="0" borderId="1" xfId="0" applyFont="true" applyBorder="true" applyAlignment="true" applyProtection="false">
      <alignment horizontal="right"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tru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70" fontId="10"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color rgb="FF9C0006"/>
      </font>
      <fill>
        <patternFill>
          <bgColor rgb="FFFFC7CE"/>
        </patternFill>
      </fill>
    </dxf>
    <dxf>
      <font>
        <name val="Arial"/>
        <charset val="1"/>
        <family val="0"/>
        <color rgb="FF9C5700"/>
      </font>
      <fill>
        <patternFill>
          <bgColor rgb="FFFFEB9C"/>
        </patternFill>
      </fill>
    </dxf>
  </dxfs>
  <colors>
    <indexedColors>
      <rgbColor rgb="FF000000"/>
      <rgbColor rgb="FFFFFFFF"/>
      <rgbColor rgb="FFFF2A7A"/>
      <rgbColor rgb="FF00FF00"/>
      <rgbColor rgb="FF0000FF"/>
      <rgbColor rgb="FFFFFF00"/>
      <rgbColor rgb="FFFF00FF"/>
      <rgbColor rgb="FF00FFFF"/>
      <rgbColor rgb="FF9C0006"/>
      <rgbColor rgb="FF008000"/>
      <rgbColor rgb="FF000080"/>
      <rgbColor rgb="FF808000"/>
      <rgbColor rgb="FF800080"/>
      <rgbColor rgb="FF008080"/>
      <rgbColor rgb="FFC0C0C0"/>
      <rgbColor rgb="FF878787"/>
      <rgbColor rgb="FF9999FF"/>
      <rgbColor rgb="FF993366"/>
      <rgbColor rgb="FFF9F9F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DDDDD"/>
      <rgbColor rgb="FFFFEB9C"/>
      <rgbColor rgb="FF99CCFF"/>
      <rgbColor rgb="FFFF99CC"/>
      <rgbColor rgb="FFCC99FF"/>
      <rgbColor rgb="FFFFC7CE"/>
      <rgbColor rgb="FF4F81BD"/>
      <rgbColor rgb="FF33CCCC"/>
      <rgbColor rgb="FF99CC00"/>
      <rgbColor rgb="FFFFCC00"/>
      <rgbColor rgb="FFFF9900"/>
      <rgbColor rgb="FFFF6600"/>
      <rgbColor rgb="FF666666"/>
      <rgbColor rgb="FF969696"/>
      <rgbColor rgb="FF003366"/>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by Category (INR Cr)</a:t>
            </a:r>
          </a:p>
        </c:rich>
      </c:tx>
      <c:overlay val="0"/>
      <c:spPr>
        <a:noFill/>
        <a:ln w="0">
          <a:noFill/>
        </a:ln>
      </c:spPr>
    </c:title>
    <c:autoTitleDeleted val="0"/>
    <c:plotArea>
      <c:barChart>
        <c:barDir val="bar"/>
        <c:grouping val="clustered"/>
        <c:varyColors val="0"/>
        <c:ser>
          <c:idx val="0"/>
          <c:order val="0"/>
          <c:tx>
            <c:strRef>
              <c:f>Category!D4</c:f>
              <c:strCache>
                <c:ptCount val="1"/>
                <c:pt idx="0">
                  <c:v>Revenue (INR Cr)</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Category!$A$5:$A$14</c:f>
              <c:strCache>
                <c:ptCount val="10"/>
                <c:pt idx="0">
                  <c:v>Luxury Beauty</c:v>
                </c:pt>
                <c:pt idx="1">
                  <c:v>Fragrance</c:v>
                </c:pt>
                <c:pt idx="2">
                  <c:v>Appliances &amp; Tools</c:v>
                </c:pt>
                <c:pt idx="3">
                  <c:v>Baby Care</c:v>
                </c:pt>
                <c:pt idx="4">
                  <c:v>Wellness &amp; Nutrition</c:v>
                </c:pt>
                <c:pt idx="5">
                  <c:v>Bath &amp; Body</c:v>
                </c:pt>
                <c:pt idx="6">
                  <c:v>Makeup</c:v>
                </c:pt>
                <c:pt idx="7">
                  <c:v>Skincare</c:v>
                </c:pt>
                <c:pt idx="8">
                  <c:v>Men's Grooming</c:v>
                </c:pt>
                <c:pt idx="9">
                  <c:v>Haircare</c:v>
                </c:pt>
              </c:strCache>
            </c:strRef>
          </c:cat>
          <c:val>
            <c:numRef>
              <c:f>Category!$D$5:$D$14</c:f>
              <c:numCache>
                <c:formatCode>#,##0.0</c:formatCode>
                <c:ptCount val="10"/>
                <c:pt idx="0">
                  <c:v>156.69816</c:v>
                </c:pt>
                <c:pt idx="1">
                  <c:v>108.3991</c:v>
                </c:pt>
                <c:pt idx="2">
                  <c:v>72.431385</c:v>
                </c:pt>
                <c:pt idx="3">
                  <c:v>65.078765</c:v>
                </c:pt>
                <c:pt idx="4">
                  <c:v>60.076368</c:v>
                </c:pt>
                <c:pt idx="5">
                  <c:v>58.21416</c:v>
                </c:pt>
                <c:pt idx="6">
                  <c:v>44.41099</c:v>
                </c:pt>
                <c:pt idx="7">
                  <c:v>44.409768</c:v>
                </c:pt>
                <c:pt idx="8">
                  <c:v>25.12928</c:v>
                </c:pt>
                <c:pt idx="9">
                  <c:v>13.538252</c:v>
                </c:pt>
              </c:numCache>
            </c:numRef>
          </c:val>
        </c:ser>
        <c:gapWidth val="150"/>
        <c:overlap val="0"/>
        <c:axId val="38118488"/>
        <c:axId val="85194903"/>
      </c:barChart>
      <c:catAx>
        <c:axId val="38118488"/>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194903"/>
        <c:crosses val="autoZero"/>
        <c:auto val="1"/>
        <c:lblAlgn val="ctr"/>
        <c:lblOffset val="100"/>
        <c:noMultiLvlLbl val="0"/>
      </c:catAx>
      <c:valAx>
        <c:axId val="85194903"/>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11848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2</xdr:row>
      <xdr:rowOff>160920</xdr:rowOff>
    </xdr:from>
    <xdr:to>
      <xdr:col>17</xdr:col>
      <xdr:colOff>255960</xdr:colOff>
      <xdr:row>16</xdr:row>
      <xdr:rowOff>163800</xdr:rowOff>
    </xdr:to>
    <xdr:graphicFrame>
      <xdr:nvGraphicFramePr>
        <xdr:cNvPr id="0" name="Chart 1"/>
        <xdr:cNvGraphicFramePr/>
      </xdr:nvGraphicFramePr>
      <xdr:xfrm>
        <a:off x="9210600" y="57168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26"/>
    <col collapsed="false" customWidth="true" hidden="false" outlineLevel="0" max="3" min="3" style="0" width="6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row>
    <row r="5" customFormat="false" ht="15" hidden="false" customHeight="false" outlineLevel="0" collapsed="false">
      <c r="A5" s="4" t="s">
        <v>5</v>
      </c>
      <c r="B5" s="5" t="n">
        <f aca="false">Category!B15</f>
        <v>6881215</v>
      </c>
      <c r="C5" s="4" t="s">
        <v>6</v>
      </c>
    </row>
    <row r="6" customFormat="false" ht="15" hidden="false" customHeight="false" outlineLevel="0" collapsed="false">
      <c r="A6" s="4" t="s">
        <v>7</v>
      </c>
      <c r="B6" s="5" t="n">
        <f aca="false">'Device Mix'!B10</f>
        <v>6835047</v>
      </c>
      <c r="C6" s="4" t="s">
        <v>8</v>
      </c>
    </row>
    <row r="7" customFormat="false" ht="15" hidden="false" customHeight="false" outlineLevel="0" collapsed="false">
      <c r="A7" s="4" t="s">
        <v>9</v>
      </c>
      <c r="B7" s="6" t="n">
        <f aca="false">Membership!C7</f>
        <v>495.0084849</v>
      </c>
      <c r="C7" s="4" t="s">
        <v>10</v>
      </c>
    </row>
    <row r="8" customFormat="false" ht="15" hidden="false" customHeight="false" outlineLevel="0" collapsed="false">
      <c r="A8" s="4" t="s">
        <v>11</v>
      </c>
      <c r="B8" s="6" t="n">
        <f aca="false">Category!D15</f>
        <v>648.386228</v>
      </c>
      <c r="C8" s="4" t="s">
        <v>12</v>
      </c>
    </row>
    <row r="9" customFormat="false" ht="15" hidden="false" customHeight="false" outlineLevel="0" collapsed="false">
      <c r="A9" s="4" t="s">
        <v>13</v>
      </c>
      <c r="B9" s="7" t="n">
        <v>4.01</v>
      </c>
      <c r="C9" s="4" t="s">
        <v>14</v>
      </c>
    </row>
    <row r="10" customFormat="false" ht="15" hidden="false" customHeight="false" outlineLevel="0" collapsed="false">
      <c r="A10" s="4" t="s">
        <v>15</v>
      </c>
      <c r="B10" s="8" t="s">
        <v>16</v>
      </c>
      <c r="C10" s="4" t="s">
        <v>17</v>
      </c>
    </row>
    <row r="11" customFormat="false" ht="15" hidden="false" customHeight="false" outlineLevel="0" collapsed="false">
      <c r="A11" s="4" t="s">
        <v>18</v>
      </c>
      <c r="B11" s="9" t="n">
        <v>8</v>
      </c>
      <c r="C11" s="4" t="s">
        <v>19</v>
      </c>
    </row>
    <row r="12" customFormat="false" ht="15" hidden="false" customHeight="false" outlineLevel="0" collapsed="false">
      <c r="A12" s="4" t="s">
        <v>20</v>
      </c>
      <c r="B12" s="9" t="n">
        <v>5</v>
      </c>
      <c r="C12" s="4" t="s">
        <v>21</v>
      </c>
    </row>
    <row r="13" customFormat="false" ht="15" hidden="false" customHeight="false" outlineLevel="0" collapsed="false">
      <c r="A13" s="4" t="s">
        <v>22</v>
      </c>
      <c r="B13" s="8" t="s">
        <v>23</v>
      </c>
      <c r="C13" s="4" t="s">
        <v>24</v>
      </c>
    </row>
    <row r="14" customFormat="false" ht="15" hidden="false" customHeight="false" outlineLevel="0" collapsed="false">
      <c r="A14" s="4" t="s">
        <v>25</v>
      </c>
      <c r="B14" s="8" t="s">
        <v>26</v>
      </c>
      <c r="C14" s="4" t="str">
        <f aca="false">TEXT('Device Mix'!C5,"0%")&amp;" of orders"</f>
        <v>49% of orders</v>
      </c>
    </row>
    <row r="15" customFormat="false" ht="15" hidden="false" customHeight="false" outlineLevel="0" collapsed="false">
      <c r="A15" s="4" t="s">
        <v>27</v>
      </c>
      <c r="B15" s="8" t="s">
        <v>28</v>
      </c>
      <c r="C15" s="4" t="s">
        <v>29</v>
      </c>
    </row>
    <row r="16" customFormat="false" ht="15" hidden="false" customHeight="false" outlineLevel="0" collapsed="false">
      <c r="A16" s="4" t="s">
        <v>30</v>
      </c>
      <c r="B16" s="8" t="s">
        <v>31</v>
      </c>
      <c r="C16" s="4" t="s">
        <v>32</v>
      </c>
    </row>
    <row r="17" customFormat="false" ht="15" hidden="false" customHeight="false" outlineLevel="0" collapsed="false">
      <c r="A17" s="4" t="s">
        <v>33</v>
      </c>
      <c r="B17" s="10" t="n">
        <f aca="false">Membership!D6</f>
        <v>0.610000000022222</v>
      </c>
      <c r="C17" s="4" t="s">
        <v>34</v>
      </c>
    </row>
    <row r="18" customFormat="false" ht="15" hidden="false" customHeight="false" outlineLevel="0" collapsed="false">
      <c r="A18" s="4" t="s">
        <v>35</v>
      </c>
      <c r="B18" s="11" t="str">
        <f aca="false">INDEX(Category!A5:A14,MATCH(MAX(Category!C5:C14),Category!C5:C14,0))</f>
        <v>Luxury Beauty</v>
      </c>
      <c r="C18" s="4"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0"/>
    <col collapsed="false" customWidth="true" hidden="false" outlineLevel="0" max="6" min="3" style="0" width="22"/>
    <col collapsed="false" customWidth="true" hidden="false" outlineLevel="0" max="7" min="7" style="0" width="26"/>
  </cols>
  <sheetData>
    <row r="1" customFormat="false" ht="17.35" hidden="false" customHeight="false" outlineLevel="0" collapsed="false">
      <c r="A1" s="1" t="s">
        <v>37</v>
      </c>
    </row>
    <row r="3" customFormat="false" ht="15" hidden="false" customHeight="false" outlineLevel="0" collapsed="false">
      <c r="A3" s="12" t="s">
        <v>38</v>
      </c>
    </row>
    <row r="4" customFormat="false" ht="15" hidden="false" customHeight="false" outlineLevel="0" collapsed="false">
      <c r="A4" s="13" t="str">
        <f aca="false">Summary!A4</f>
        <v>Metric</v>
      </c>
      <c r="B4" s="13" t="str">
        <f aca="false">Summary!B4</f>
        <v>Value</v>
      </c>
      <c r="C4" s="13" t="str">
        <f aca="false">Summary!C4</f>
        <v>Note</v>
      </c>
    </row>
    <row r="5" customFormat="false" ht="15" hidden="false" customHeight="false" outlineLevel="0" collapsed="false">
      <c r="A5" s="4" t="str">
        <f aca="false">Summary!A5</f>
        <v>Total orders - sum of categories</v>
      </c>
      <c r="B5" s="14" t="n">
        <f aca="false">Summary!B5</f>
        <v>6881215</v>
      </c>
      <c r="C5" s="4" t="str">
        <f aca="false">Summary!C5</f>
        <v>Report headline says ~6.8M</v>
      </c>
    </row>
    <row r="6" customFormat="false" ht="15" hidden="false" customHeight="false" outlineLevel="0" collapsed="false">
      <c r="A6" s="4" t="str">
        <f aca="false">Summary!A6</f>
        <v>Total orders - sum of devices</v>
      </c>
      <c r="B6" s="14" t="n">
        <f aca="false">Summary!B6</f>
        <v>6835047</v>
      </c>
      <c r="C6" s="4" t="str">
        <f aca="false">Summary!C6</f>
        <v>Differs slightly from category total</v>
      </c>
    </row>
    <row r="7" customFormat="false" ht="15" hidden="false" customHeight="false" outlineLevel="0" collapsed="false">
      <c r="A7" s="4" t="str">
        <f aca="false">Summary!A7</f>
        <v>Total GMV (INR Cr) - membership split</v>
      </c>
      <c r="B7" s="15" t="n">
        <f aca="false">Summary!B7</f>
        <v>495.0084849</v>
      </c>
      <c r="C7" s="4" t="str">
        <f aca="false">Summary!C7</f>
        <v>Report headline: ~Rs. 495 Cr</v>
      </c>
    </row>
    <row r="8" customFormat="false" ht="15" hidden="false" customHeight="false" outlineLevel="0" collapsed="false">
      <c r="A8" s="4" t="str">
        <f aca="false">Summary!A8</f>
        <v>Total revenue (INR Cr) - category table</v>
      </c>
      <c r="B8" s="15" t="n">
        <f aca="false">Summary!B8</f>
        <v>648.386228</v>
      </c>
      <c r="C8" s="4" t="str">
        <f aca="false">Summary!C8</f>
        <v>Does NOT match 495 Cr headline - see Notes</v>
      </c>
    </row>
    <row r="9" customFormat="false" ht="15" hidden="false" customHeight="false" outlineLevel="0" collapsed="false">
      <c r="A9" s="4" t="str">
        <f aca="false">Summary!A9</f>
        <v>Average product rating (out of 5)</v>
      </c>
      <c r="B9" s="16" t="n">
        <f aca="false">Summary!B9</f>
        <v>4.01</v>
      </c>
      <c r="C9" s="4" t="str">
        <f aca="false">Summary!C9</f>
        <v>Section 5</v>
      </c>
    </row>
    <row r="10" customFormat="false" ht="15" hidden="false" customHeight="false" outlineLevel="0" collapsed="false">
      <c r="A10" s="4" t="str">
        <f aca="false">Summary!A10</f>
        <v>Top single-day product</v>
      </c>
      <c r="B10" s="4" t="str">
        <f aca="false">Summary!B10</f>
        <v>Nykaa Cosmetics Face Mist</v>
      </c>
      <c r="C10" s="4" t="str">
        <f aca="false">Summary!C10</f>
        <v>34,399 orders</v>
      </c>
    </row>
    <row r="11" customFormat="false" ht="15" hidden="false" customHeight="false" outlineLevel="0" collapsed="false">
      <c r="A11" s="4" t="str">
        <f aca="false">Summary!A11</f>
        <v>Cities tracked</v>
      </c>
      <c r="B11" s="17" t="n">
        <f aca="false">Summary!B11</f>
        <v>8</v>
      </c>
      <c r="C11" s="4" t="str">
        <f aca="false">Summary!C11</f>
        <v>Bangalore, Delhi NCR, Mumbai, Hyderabad, Pune, Chennai, Kolkata, Ahmedabad</v>
      </c>
    </row>
    <row r="12" customFormat="false" ht="15" hidden="false" customHeight="false" outlineLevel="0" collapsed="false">
      <c r="A12" s="4" t="str">
        <f aca="false">Summary!A12</f>
        <v>Listings at renewal risk (of 60)</v>
      </c>
      <c r="B12" s="17" t="n">
        <f aca="false">Summary!B12</f>
        <v>5</v>
      </c>
      <c r="C12" s="4" t="str">
        <f aca="false">Summary!C12</f>
        <v>Section 7</v>
      </c>
    </row>
    <row r="13" customFormat="false" ht="15" hidden="false" customHeight="false" outlineLevel="0" collapsed="false">
      <c r="A13" s="4" t="str">
        <f aca="false">Summary!A13</f>
        <v>Peak ordering day</v>
      </c>
      <c r="B13" s="4" t="str">
        <f aca="false">Summary!B13</f>
        <v>Saturday</v>
      </c>
      <c r="C13" s="4" t="str">
        <f aca="false">Summary!C13</f>
        <v>Tuesday softest</v>
      </c>
    </row>
    <row r="14" customFormat="false" ht="15" hidden="false" customHeight="false" outlineLevel="0" collapsed="false">
      <c r="A14" s="4" t="str">
        <f aca="false">Summary!A14</f>
        <v>Leading device</v>
      </c>
      <c r="B14" s="4" t="str">
        <f aca="false">Summary!B14</f>
        <v>Android App</v>
      </c>
      <c r="C14" s="4" t="str">
        <f aca="false">Summary!C14</f>
        <v>49% of orders</v>
      </c>
    </row>
    <row r="15" customFormat="false" ht="15" hidden="false" customHeight="false" outlineLevel="0" collapsed="false">
      <c r="A15" s="4" t="str">
        <f aca="false">Summary!A15</f>
        <v>Highest-return category</v>
      </c>
      <c r="B15" s="4" t="str">
        <f aca="false">Summary!B15</f>
        <v>Makeup</v>
      </c>
      <c r="C15" s="4" t="str">
        <f aca="false">Summary!C15</f>
        <v>~9.8% returned; lowest is Wellness &amp; Nutrition ~3.5%</v>
      </c>
    </row>
    <row r="16" customFormat="false" ht="15" hidden="false" customHeight="false" outlineLevel="0" collapsed="false">
      <c r="A16" s="4" t="str">
        <f aca="false">Summary!A16</f>
        <v>Deepest Nykaa Prive adoption</v>
      </c>
      <c r="B16" s="4" t="str">
        <f aca="false">Summary!B16</f>
        <v>Mumbai</v>
      </c>
      <c r="C16" s="4" t="str">
        <f aca="false">Summary!C16</f>
        <v>40%; leanest is Kolkata 14%</v>
      </c>
    </row>
    <row r="17" customFormat="false" ht="15" hidden="false" customHeight="false" outlineLevel="0" collapsed="false">
      <c r="A17" s="4" t="str">
        <f aca="false">Summary!A17</f>
        <v>Nykaa Prive share of GMV</v>
      </c>
      <c r="B17" s="18" t="n">
        <f aca="false">Summary!B17</f>
        <v>0.610000000022222</v>
      </c>
      <c r="C17" s="4" t="str">
        <f aca="false">Summary!C17</f>
        <v>Section 6.7</v>
      </c>
    </row>
    <row r="18" customFormat="false" ht="15" hidden="false" customHeight="false" outlineLevel="0" collapsed="false">
      <c r="A18" s="4" t="str">
        <f aca="false">Summary!A18</f>
        <v>Top revenue category</v>
      </c>
      <c r="B18" s="4" t="str">
        <f aca="false">Summary!B18</f>
        <v>Luxury Beauty</v>
      </c>
      <c r="C18" s="4" t="str">
        <f aca="false">Summary!C18</f>
        <v>Luxury Beauty</v>
      </c>
    </row>
    <row r="21" customFormat="false" ht="15" hidden="false" customHeight="false" outlineLevel="0" collapsed="false">
      <c r="A21" s="12" t="s">
        <v>39</v>
      </c>
    </row>
    <row r="22" customFormat="false" ht="15" hidden="false" customHeight="false" outlineLevel="0" collapsed="false">
      <c r="A22" s="13" t="str">
        <f aca="false">Category!A4</f>
        <v>Category</v>
      </c>
      <c r="B22" s="13" t="str">
        <f aca="false">Category!B4</f>
        <v>Orders (30-day)</v>
      </c>
      <c r="C22" s="13" t="str">
        <f aca="false">Category!C4</f>
        <v>Revenue (INR)</v>
      </c>
      <c r="D22" s="13" t="str">
        <f aca="false">Category!D4</f>
        <v>Revenue (INR Cr)</v>
      </c>
      <c r="E22" s="13" t="str">
        <f aca="false">Category!E4</f>
        <v>Share of Orders</v>
      </c>
      <c r="F22" s="13" t="str">
        <f aca="false">Category!F4</f>
        <v>Share of Revenue</v>
      </c>
      <c r="G22" s="13" t="str">
        <f aca="false">Category!G4</f>
        <v>Revenue per Order (INR)</v>
      </c>
    </row>
    <row r="23" customFormat="false" ht="15" hidden="false" customHeight="false" outlineLevel="0" collapsed="false">
      <c r="A23" s="4" t="str">
        <f aca="false">Category!A5</f>
        <v>Luxury Beauty</v>
      </c>
      <c r="B23" s="14" t="n">
        <f aca="false">Category!B5</f>
        <v>652909</v>
      </c>
      <c r="C23" s="14" t="n">
        <f aca="false">Category!C5</f>
        <v>1566981600</v>
      </c>
      <c r="D23" s="15" t="n">
        <f aca="false">Category!D5</f>
        <v>156.69816</v>
      </c>
      <c r="E23" s="18" t="n">
        <f aca="false">Category!E5</f>
        <v>0.0948828077599668</v>
      </c>
      <c r="F23" s="18" t="n">
        <f aca="false">Category!F5</f>
        <v>0.241674102923728</v>
      </c>
      <c r="G23" s="14" t="n">
        <f aca="false">Category!G5</f>
        <v>2400</v>
      </c>
    </row>
    <row r="24" customFormat="false" ht="15" hidden="false" customHeight="false" outlineLevel="0" collapsed="false">
      <c r="A24" s="4" t="str">
        <f aca="false">Category!A6</f>
        <v>Fragrance</v>
      </c>
      <c r="B24" s="14" t="n">
        <f aca="false">Category!B6</f>
        <v>747580</v>
      </c>
      <c r="C24" s="14" t="n">
        <f aca="false">Category!C6</f>
        <v>1083991000</v>
      </c>
      <c r="D24" s="15" t="n">
        <f aca="false">Category!D6</f>
        <v>108.3991</v>
      </c>
      <c r="E24" s="18" t="n">
        <f aca="false">Category!E6</f>
        <v>0.108640697900007</v>
      </c>
      <c r="F24" s="18" t="n">
        <f aca="false">Category!F6</f>
        <v>0.16718291555076</v>
      </c>
      <c r="G24" s="14" t="n">
        <f aca="false">Category!G6</f>
        <v>1450</v>
      </c>
    </row>
    <row r="25" customFormat="false" ht="15" hidden="false" customHeight="false" outlineLevel="0" collapsed="false">
      <c r="A25" s="4" t="str">
        <f aca="false">Category!A7</f>
        <v>Appliances &amp; Tools</v>
      </c>
      <c r="B25" s="14" t="n">
        <f aca="false">Category!B7</f>
        <v>391521</v>
      </c>
      <c r="C25" s="14" t="n">
        <f aca="false">Category!C7</f>
        <v>724313850</v>
      </c>
      <c r="D25" s="15" t="n">
        <f aca="false">Category!D7</f>
        <v>72.431385</v>
      </c>
      <c r="E25" s="18" t="n">
        <f aca="false">Category!E7</f>
        <v>0.0568970741358903</v>
      </c>
      <c r="F25" s="18" t="n">
        <f aca="false">Category!F7</f>
        <v>0.111710245949271</v>
      </c>
      <c r="G25" s="14" t="n">
        <f aca="false">Category!G7</f>
        <v>1850</v>
      </c>
    </row>
    <row r="26" customFormat="false" ht="15" hidden="false" customHeight="false" outlineLevel="0" collapsed="false">
      <c r="A26" s="4" t="str">
        <f aca="false">Category!A8</f>
        <v>Baby Care</v>
      </c>
      <c r="B26" s="14" t="n">
        <f aca="false">Category!B8</f>
        <v>1066865</v>
      </c>
      <c r="C26" s="14" t="n">
        <f aca="false">Category!C8</f>
        <v>650787650</v>
      </c>
      <c r="D26" s="15" t="n">
        <f aca="false">Category!D8</f>
        <v>65.078765</v>
      </c>
      <c r="E26" s="18" t="n">
        <f aca="false">Category!E8</f>
        <v>0.155040207288974</v>
      </c>
      <c r="F26" s="18" t="n">
        <f aca="false">Category!F8</f>
        <v>0.100370369063422</v>
      </c>
      <c r="G26" s="14" t="n">
        <f aca="false">Category!G8</f>
        <v>610</v>
      </c>
    </row>
    <row r="27" customFormat="false" ht="15" hidden="false" customHeight="false" outlineLevel="0" collapsed="false">
      <c r="A27" s="4" t="str">
        <f aca="false">Category!A9</f>
        <v>Wellness &amp; Nutrition</v>
      </c>
      <c r="B27" s="14" t="n">
        <f aca="false">Category!B9</f>
        <v>870672</v>
      </c>
      <c r="C27" s="14" t="n">
        <f aca="false">Category!C9</f>
        <v>600763680</v>
      </c>
      <c r="D27" s="15" t="n">
        <f aca="false">Category!D9</f>
        <v>60.076368</v>
      </c>
      <c r="E27" s="18" t="n">
        <f aca="false">Category!E9</f>
        <v>0.126528817948574</v>
      </c>
      <c r="F27" s="18" t="n">
        <f aca="false">Category!F9</f>
        <v>0.0926552190741473</v>
      </c>
      <c r="G27" s="14" t="n">
        <f aca="false">Category!G9</f>
        <v>690</v>
      </c>
    </row>
    <row r="28" customFormat="false" ht="15" hidden="false" customHeight="false" outlineLevel="0" collapsed="false">
      <c r="A28" s="4" t="str">
        <f aca="false">Category!A10</f>
        <v>Bath &amp; Body</v>
      </c>
      <c r="B28" s="14" t="n">
        <f aca="false">Category!B10</f>
        <v>1212795</v>
      </c>
      <c r="C28" s="14" t="n">
        <f aca="false">Category!C10</f>
        <v>582141600</v>
      </c>
      <c r="D28" s="15" t="n">
        <f aca="false">Category!D10</f>
        <v>58.21416</v>
      </c>
      <c r="E28" s="18" t="n">
        <f aca="false">Category!E10</f>
        <v>0.176247217969501</v>
      </c>
      <c r="F28" s="18" t="n">
        <f aca="false">Category!F10</f>
        <v>0.0897831531363125</v>
      </c>
      <c r="G28" s="14" t="n">
        <f aca="false">Category!G10</f>
        <v>480</v>
      </c>
    </row>
    <row r="29" customFormat="false" ht="15" hidden="false" customHeight="false" outlineLevel="0" collapsed="false">
      <c r="A29" s="4" t="str">
        <f aca="false">Category!A11</f>
        <v>Makeup</v>
      </c>
      <c r="B29" s="14" t="n">
        <f aca="false">Category!B11</f>
        <v>683246</v>
      </c>
      <c r="C29" s="14" t="n">
        <f aca="false">Category!C11</f>
        <v>444109900</v>
      </c>
      <c r="D29" s="15" t="n">
        <f aca="false">Category!D11</f>
        <v>44.41099</v>
      </c>
      <c r="E29" s="18" t="n">
        <f aca="false">Category!E11</f>
        <v>0.0992914768685472</v>
      </c>
      <c r="F29" s="18" t="n">
        <f aca="false">Category!F11</f>
        <v>0.0684946534675626</v>
      </c>
      <c r="G29" s="14" t="n">
        <f aca="false">Category!G11</f>
        <v>650</v>
      </c>
    </row>
    <row r="30" customFormat="false" ht="15" hidden="false" customHeight="false" outlineLevel="0" collapsed="false">
      <c r="A30" s="4" t="str">
        <f aca="false">Category!A12</f>
        <v>Skincare</v>
      </c>
      <c r="B30" s="14" t="n">
        <f aca="false">Category!B12</f>
        <v>569356</v>
      </c>
      <c r="C30" s="14" t="n">
        <f aca="false">Category!C12</f>
        <v>444097680</v>
      </c>
      <c r="D30" s="15" t="n">
        <f aca="false">Category!D12</f>
        <v>44.409768</v>
      </c>
      <c r="E30" s="18" t="n">
        <f aca="false">Category!E12</f>
        <v>0.0827406206607409</v>
      </c>
      <c r="F30" s="18" t="n">
        <f aca="false">Category!F12</f>
        <v>0.0684927687884204</v>
      </c>
      <c r="G30" s="14" t="n">
        <f aca="false">Category!G12</f>
        <v>780</v>
      </c>
    </row>
    <row r="31" customFormat="false" ht="15" hidden="false" customHeight="false" outlineLevel="0" collapsed="false">
      <c r="A31" s="4" t="str">
        <f aca="false">Category!A13</f>
        <v>Men's Grooming</v>
      </c>
      <c r="B31" s="14" t="n">
        <f aca="false">Category!B13</f>
        <v>425920</v>
      </c>
      <c r="C31" s="14" t="n">
        <f aca="false">Category!C13</f>
        <v>251292800</v>
      </c>
      <c r="D31" s="15" t="n">
        <f aca="false">Category!D13</f>
        <v>25.12928</v>
      </c>
      <c r="E31" s="18" t="n">
        <f aca="false">Category!E13</f>
        <v>0.0618960459744391</v>
      </c>
      <c r="F31" s="18" t="n">
        <f aca="false">Category!F13</f>
        <v>0.0387566529250834</v>
      </c>
      <c r="G31" s="14" t="n">
        <f aca="false">Category!G13</f>
        <v>590</v>
      </c>
    </row>
    <row r="32" customFormat="false" ht="15" hidden="false" customHeight="false" outlineLevel="0" collapsed="false">
      <c r="A32" s="4" t="str">
        <f aca="false">Category!A14</f>
        <v>Haircare</v>
      </c>
      <c r="B32" s="14" t="n">
        <f aca="false">Category!B14</f>
        <v>260351</v>
      </c>
      <c r="C32" s="14" t="n">
        <f aca="false">Category!C14</f>
        <v>135382520</v>
      </c>
      <c r="D32" s="15" t="n">
        <f aca="false">Category!D14</f>
        <v>13.538252</v>
      </c>
      <c r="E32" s="18" t="n">
        <f aca="false">Category!E14</f>
        <v>0.0378350334933584</v>
      </c>
      <c r="F32" s="18" t="n">
        <f aca="false">Category!F14</f>
        <v>0.0208799191212926</v>
      </c>
      <c r="G32" s="14" t="n">
        <f aca="false">Category!G14</f>
        <v>520</v>
      </c>
    </row>
    <row r="33" customFormat="false" ht="15" hidden="false" customHeight="false" outlineLevel="0" collapsed="false">
      <c r="A33" s="19" t="str">
        <f aca="false">Category!A15</f>
        <v>Total</v>
      </c>
      <c r="B33" s="20" t="n">
        <f aca="false">Category!B15</f>
        <v>6881215</v>
      </c>
      <c r="C33" s="20" t="n">
        <f aca="false">Category!C15</f>
        <v>6483862280</v>
      </c>
      <c r="D33" s="21" t="n">
        <f aca="false">Category!D15</f>
        <v>648.386228</v>
      </c>
      <c r="E33" s="22" t="n">
        <f aca="false">Category!E15</f>
        <v>1</v>
      </c>
      <c r="F33" s="22" t="n">
        <f aca="false">Category!F15</f>
        <v>1</v>
      </c>
      <c r="G33" s="20" t="n">
        <f aca="false">Category!G15</f>
        <v>942.255441807878</v>
      </c>
    </row>
    <row r="36" customFormat="false" ht="15" hidden="false" customHeight="false" outlineLevel="0" collapsed="false">
      <c r="A36" s="12" t="s">
        <v>40</v>
      </c>
    </row>
    <row r="37" customFormat="false" ht="23.85" hidden="false" customHeight="false" outlineLevel="0" collapsed="false">
      <c r="A37" s="13" t="str">
        <f aca="false">'Device Mix'!A4</f>
        <v>Device / Platform</v>
      </c>
      <c r="B37" s="13" t="str">
        <f aca="false">'Device Mix'!B4</f>
        <v>Orders</v>
      </c>
      <c r="C37" s="13" t="str">
        <f aca="false">'Device Mix'!C4</f>
        <v>Share of Orders (calc)</v>
      </c>
      <c r="D37" s="13" t="str">
        <f aca="false">'Device Mix'!D4</f>
        <v>Share Reported in Report</v>
      </c>
    </row>
    <row r="38" customFormat="false" ht="15" hidden="false" customHeight="false" outlineLevel="0" collapsed="false">
      <c r="A38" s="4" t="str">
        <f aca="false">'Device Mix'!A5</f>
        <v>Android App</v>
      </c>
      <c r="B38" s="14" t="n">
        <f aca="false">'Device Mix'!B5</f>
        <v>3349174</v>
      </c>
      <c r="C38" s="18" t="n">
        <f aca="false">'Device Mix'!C5</f>
        <v>0.49000014191563</v>
      </c>
      <c r="D38" s="23" t="n">
        <f aca="false">'Device Mix'!D5</f>
        <v>0.49</v>
      </c>
    </row>
    <row r="39" customFormat="false" ht="15" hidden="false" customHeight="false" outlineLevel="0" collapsed="false">
      <c r="A39" s="4" t="str">
        <f aca="false">'Device Mix'!A6</f>
        <v>iOS App</v>
      </c>
      <c r="B39" s="14" t="n">
        <f aca="false">'Device Mix'!B6</f>
        <v>1845463</v>
      </c>
      <c r="C39" s="18" t="n">
        <f aca="false">'Device Mix'!C6</f>
        <v>0.27000004535448</v>
      </c>
      <c r="D39" s="23" t="n">
        <f aca="false">'Device Mix'!D6</f>
        <v>0.27</v>
      </c>
    </row>
    <row r="40" customFormat="false" ht="15" hidden="false" customHeight="false" outlineLevel="0" collapsed="false">
      <c r="A40" s="4" t="str">
        <f aca="false">'Device Mix'!A7</f>
        <v>Mobile Web</v>
      </c>
      <c r="B40" s="14" t="n">
        <f aca="false">'Device Mix'!B7</f>
        <v>1025257</v>
      </c>
      <c r="C40" s="18" t="n">
        <f aca="false">'Device Mix'!C7</f>
        <v>0.149999992684761</v>
      </c>
      <c r="D40" s="23" t="n">
        <f aca="false">'Device Mix'!D7</f>
        <v>0.15</v>
      </c>
    </row>
    <row r="41" customFormat="false" ht="15" hidden="false" customHeight="false" outlineLevel="0" collapsed="false">
      <c r="A41" s="4" t="str">
        <f aca="false">'Device Mix'!A8</f>
        <v>Desktop Web</v>
      </c>
      <c r="B41" s="14" t="n">
        <f aca="false">'Device Mix'!B8</f>
        <v>478453</v>
      </c>
      <c r="C41" s="18" t="n">
        <f aca="false">'Device Mix'!C8</f>
        <v>0.0699999575716158</v>
      </c>
      <c r="D41" s="23" t="n">
        <f aca="false">'Device Mix'!D8</f>
        <v>0.07</v>
      </c>
    </row>
    <row r="42" customFormat="false" ht="15" hidden="false" customHeight="false" outlineLevel="0" collapsed="false">
      <c r="A42" s="4" t="str">
        <f aca="false">'Device Mix'!A9</f>
        <v>WhatsApp Shopping</v>
      </c>
      <c r="B42" s="14" t="n">
        <f aca="false">'Device Mix'!B9</f>
        <v>136700</v>
      </c>
      <c r="C42" s="18" t="n">
        <f aca="false">'Device Mix'!C9</f>
        <v>0.0199998624735134</v>
      </c>
      <c r="D42" s="23" t="n">
        <f aca="false">'Device Mix'!D9</f>
        <v>0.02</v>
      </c>
    </row>
    <row r="43" customFormat="false" ht="15" hidden="false" customHeight="false" outlineLevel="0" collapsed="false">
      <c r="A43" s="19" t="str">
        <f aca="false">'Device Mix'!A10</f>
        <v>Total</v>
      </c>
      <c r="B43" s="20" t="n">
        <f aca="false">'Device Mix'!B10</f>
        <v>6835047</v>
      </c>
      <c r="C43" s="22" t="n">
        <f aca="false">'Device Mix'!C10</f>
        <v>1</v>
      </c>
      <c r="D43" s="24" t="n">
        <f aca="false">'Device Mix'!D10</f>
        <v>1</v>
      </c>
    </row>
    <row r="46" customFormat="false" ht="15" hidden="false" customHeight="false" outlineLevel="0" collapsed="false">
      <c r="A46" s="12" t="s">
        <v>41</v>
      </c>
    </row>
    <row r="47" customFormat="false" ht="15" hidden="false" customHeight="false" outlineLevel="0" collapsed="false">
      <c r="A47" s="13" t="str">
        <f aca="false">Membership!A4</f>
        <v>Membership Tier</v>
      </c>
      <c r="B47" s="13" t="str">
        <f aca="false">Membership!B4</f>
        <v>GMV (INR)</v>
      </c>
      <c r="C47" s="13" t="str">
        <f aca="false">Membership!C4</f>
        <v>GMV (INR Cr)</v>
      </c>
      <c r="D47" s="13" t="str">
        <f aca="false">Membership!D4</f>
        <v>GMV Share (calc)</v>
      </c>
      <c r="E47" s="13" t="str">
        <f aca="false">Membership!E4</f>
        <v>GMV Share Reported</v>
      </c>
    </row>
    <row r="48" customFormat="false" ht="15" hidden="false" customHeight="false" outlineLevel="0" collapsed="false">
      <c r="A48" s="4" t="str">
        <f aca="false">Membership!A5</f>
        <v>Non-Member</v>
      </c>
      <c r="B48" s="14" t="n">
        <f aca="false">Membership!B5</f>
        <v>1930533091</v>
      </c>
      <c r="C48" s="15" t="n">
        <f aca="false">Membership!C5</f>
        <v>193.0533091</v>
      </c>
      <c r="D48" s="18" t="n">
        <f aca="false">Membership!D5</f>
        <v>0.389999999977778</v>
      </c>
      <c r="E48" s="23" t="n">
        <f aca="false">Membership!E5</f>
        <v>0.39</v>
      </c>
    </row>
    <row r="49" customFormat="false" ht="15" hidden="false" customHeight="false" outlineLevel="0" collapsed="false">
      <c r="A49" s="4" t="str">
        <f aca="false">Membership!A6</f>
        <v>Nykaa Prive</v>
      </c>
      <c r="B49" s="14" t="n">
        <f aca="false">Membership!B6</f>
        <v>3019551758</v>
      </c>
      <c r="C49" s="15" t="n">
        <f aca="false">Membership!C6</f>
        <v>301.9551758</v>
      </c>
      <c r="D49" s="18" t="n">
        <f aca="false">Membership!D6</f>
        <v>0.610000000022222</v>
      </c>
      <c r="E49" s="23" t="n">
        <f aca="false">Membership!E6</f>
        <v>0.61</v>
      </c>
    </row>
    <row r="50" customFormat="false" ht="15" hidden="false" customHeight="false" outlineLevel="0" collapsed="false">
      <c r="A50" s="19" t="str">
        <f aca="false">Membership!A7</f>
        <v>Total</v>
      </c>
      <c r="B50" s="20" t="n">
        <f aca="false">Membership!B7</f>
        <v>4950084849</v>
      </c>
      <c r="C50" s="21" t="n">
        <f aca="false">Membership!C7</f>
        <v>495.0084849</v>
      </c>
      <c r="D50" s="22" t="n">
        <f aca="false">Membership!D7</f>
        <v>1</v>
      </c>
      <c r="E50" s="24" t="n">
        <f aca="false">Membership!E7</f>
        <v>1</v>
      </c>
    </row>
    <row r="53" customFormat="false" ht="15" hidden="false" customHeight="false" outlineLevel="0" collapsed="false">
      <c r="A53" s="12" t="s">
        <v>42</v>
      </c>
    </row>
    <row r="54" customFormat="false" ht="23.85" hidden="false" customHeight="false" outlineLevel="0" collapsed="false">
      <c r="A54" s="13" t="str">
        <f aca="false">City!A4</f>
        <v>City</v>
      </c>
      <c r="B54" s="13" t="str">
        <f aca="false">City!B4</f>
        <v>Orders (Millions, approx.)</v>
      </c>
      <c r="C54" s="13" t="str">
        <f aca="false">City!C4</f>
        <v>Share of Orders</v>
      </c>
      <c r="D54" s="13" t="str">
        <f aca="false">City!D4</f>
        <v>Nykaa Prive Adoption</v>
      </c>
    </row>
    <row r="55" customFormat="false" ht="15" hidden="false" customHeight="false" outlineLevel="0" collapsed="false">
      <c r="A55" s="4" t="str">
        <f aca="false">City!A5</f>
        <v>Mumbai</v>
      </c>
      <c r="B55" s="16" t="n">
        <f aca="false">City!B5</f>
        <v>1.65</v>
      </c>
      <c r="C55" s="18" t="n">
        <f aca="false">City!C5</f>
        <v>0.239825581395349</v>
      </c>
      <c r="D55" s="23" t="n">
        <f aca="false">City!D5</f>
        <v>0.4</v>
      </c>
    </row>
    <row r="56" customFormat="false" ht="15" hidden="false" customHeight="false" outlineLevel="0" collapsed="false">
      <c r="A56" s="4" t="str">
        <f aca="false">City!A6</f>
        <v>Hyderabad</v>
      </c>
      <c r="B56" s="16" t="n">
        <f aca="false">City!B6</f>
        <v>1.39</v>
      </c>
      <c r="C56" s="18" t="n">
        <f aca="false">City!C6</f>
        <v>0.20203488372093</v>
      </c>
      <c r="D56" s="23" t="n">
        <f aca="false">City!D6</f>
        <v>0.25</v>
      </c>
    </row>
    <row r="57" customFormat="false" ht="15" hidden="false" customHeight="false" outlineLevel="0" collapsed="false">
      <c r="A57" s="4" t="str">
        <f aca="false">City!A7</f>
        <v>Chennai</v>
      </c>
      <c r="B57" s="16" t="n">
        <f aca="false">City!B7</f>
        <v>1.04</v>
      </c>
      <c r="C57" s="18" t="n">
        <f aca="false">City!C7</f>
        <v>0.151162790697674</v>
      </c>
      <c r="D57" s="23" t="n">
        <f aca="false">City!D7</f>
        <v>0.22</v>
      </c>
    </row>
    <row r="58" customFormat="false" ht="15" hidden="false" customHeight="false" outlineLevel="0" collapsed="false">
      <c r="A58" s="4" t="str">
        <f aca="false">City!A8</f>
        <v>Pune</v>
      </c>
      <c r="B58" s="16" t="n">
        <f aca="false">City!B8</f>
        <v>0.86</v>
      </c>
      <c r="C58" s="18" t="n">
        <f aca="false">City!C8</f>
        <v>0.125</v>
      </c>
      <c r="D58" s="23" t="n">
        <f aca="false">City!D8</f>
        <v>0.27</v>
      </c>
    </row>
    <row r="59" customFormat="false" ht="15" hidden="false" customHeight="false" outlineLevel="0" collapsed="false">
      <c r="A59" s="4" t="str">
        <f aca="false">City!A9</f>
        <v>Bangalore</v>
      </c>
      <c r="B59" s="16" t="n">
        <f aca="false">City!B9</f>
        <v>0.7</v>
      </c>
      <c r="C59" s="18" t="n">
        <f aca="false">City!C9</f>
        <v>0.101744186046512</v>
      </c>
      <c r="D59" s="23" t="n">
        <f aca="false">City!D9</f>
        <v>0.36</v>
      </c>
    </row>
    <row r="60" customFormat="false" ht="15" hidden="false" customHeight="false" outlineLevel="0" collapsed="false">
      <c r="A60" s="4" t="str">
        <f aca="false">City!A10</f>
        <v>Kolkata</v>
      </c>
      <c r="B60" s="16" t="n">
        <f aca="false">City!B10</f>
        <v>0.65</v>
      </c>
      <c r="C60" s="18" t="n">
        <f aca="false">City!C10</f>
        <v>0.0944767441860465</v>
      </c>
      <c r="D60" s="23" t="n">
        <f aca="false">City!D10</f>
        <v>0.14</v>
      </c>
    </row>
    <row r="61" customFormat="false" ht="15" hidden="false" customHeight="false" outlineLevel="0" collapsed="false">
      <c r="A61" s="4" t="str">
        <f aca="false">City!A11</f>
        <v>Delhi NCR</v>
      </c>
      <c r="B61" s="16" t="n">
        <f aca="false">City!B11</f>
        <v>0.39</v>
      </c>
      <c r="C61" s="18" t="n">
        <f aca="false">City!C11</f>
        <v>0.0566860465116279</v>
      </c>
      <c r="D61" s="23" t="n">
        <f aca="false">City!D11</f>
        <v>0.38</v>
      </c>
    </row>
    <row r="62" customFormat="false" ht="15" hidden="false" customHeight="false" outlineLevel="0" collapsed="false">
      <c r="A62" s="4" t="str">
        <f aca="false">City!A12</f>
        <v>Ahmedabad</v>
      </c>
      <c r="B62" s="16" t="n">
        <f aca="false">City!B12</f>
        <v>0.2</v>
      </c>
      <c r="C62" s="18" t="n">
        <f aca="false">City!C12</f>
        <v>0.0290697674418605</v>
      </c>
      <c r="D62" s="23" t="n">
        <f aca="false">City!D12</f>
        <v>0.16</v>
      </c>
    </row>
    <row r="63" customFormat="false" ht="15" hidden="false" customHeight="false" outlineLevel="0" collapsed="false">
      <c r="A63" s="19" t="str">
        <f aca="false">City!A13</f>
        <v>Total</v>
      </c>
      <c r="B63" s="25" t="n">
        <f aca="false">City!B13</f>
        <v>6.88</v>
      </c>
      <c r="C63" s="22" t="n">
        <f aca="false">City!C13</f>
        <v>1</v>
      </c>
      <c r="D63" s="22" t="n">
        <f aca="false">City!D13</f>
        <v>0.2725</v>
      </c>
    </row>
    <row r="66" customFormat="false" ht="15" hidden="false" customHeight="false" outlineLevel="0" collapsed="false">
      <c r="A66" s="12" t="s">
        <v>43</v>
      </c>
    </row>
    <row r="67" customFormat="false" ht="15" hidden="false" customHeight="false" outlineLevel="0" collapsed="false">
      <c r="A67" s="13" t="str">
        <f aca="false">'Top Products'!A4</f>
        <v>Rank</v>
      </c>
      <c r="B67" s="13" t="str">
        <f aca="false">'Top Products'!B4</f>
        <v>Product</v>
      </c>
      <c r="C67" s="13" t="str">
        <f aca="false">'Top Products'!C4</f>
        <v>Orders (most recent day)</v>
      </c>
      <c r="D67" s="13" t="str">
        <f aca="false">'Top Products'!D4</f>
        <v>Orders Basis</v>
      </c>
      <c r="E67" s="13" t="str">
        <f aca="false">'Top Products'!E4</f>
        <v>Share of Top-10 Orders</v>
      </c>
      <c r="F67" s="13" t="str">
        <f aca="false">'Top Products'!F4</f>
        <v>New Customers</v>
      </c>
      <c r="G67" s="13" t="str">
        <f aca="false">'Top Products'!G4</f>
        <v>Category (as listed in report)</v>
      </c>
    </row>
    <row r="68" customFormat="false" ht="15" hidden="false" customHeight="false" outlineLevel="0" collapsed="false">
      <c r="A68" s="17" t="n">
        <f aca="false">'Top Products'!A5</f>
        <v>1</v>
      </c>
      <c r="B68" s="4" t="str">
        <f aca="false">'Top Products'!B5</f>
        <v>Nykaa Cosmetics Face Mist</v>
      </c>
      <c r="C68" s="14" t="n">
        <f aca="false">'Top Products'!C5</f>
        <v>34399</v>
      </c>
      <c r="D68" s="4" t="str">
        <f aca="false">'Top Products'!D5</f>
        <v>Exact</v>
      </c>
      <c r="E68" s="18" t="n">
        <f aca="false">'Top Products'!E5</f>
        <v>0.283588487951261</v>
      </c>
      <c r="F68" s="14" t="n">
        <f aca="false">'Top Products'!F5</f>
        <v>5581</v>
      </c>
      <c r="G68" s="4" t="str">
        <f aca="false">'Top Products'!G5</f>
        <v>Baby Care</v>
      </c>
    </row>
    <row r="69" customFormat="false" ht="15" hidden="false" customHeight="false" outlineLevel="0" collapsed="false">
      <c r="A69" s="17" t="n">
        <f aca="false">'Top Products'!A6</f>
        <v>2</v>
      </c>
      <c r="B69" s="4" t="str">
        <f aca="false">'Top Products'!B6</f>
        <v>L'Oreal Paris Hydrating Face Wash</v>
      </c>
      <c r="C69" s="14" t="n">
        <f aca="false">'Top Products'!C6</f>
        <v>13700</v>
      </c>
      <c r="D69" s="4" t="str">
        <f aca="false">'Top Products'!D6</f>
        <v>Approx.</v>
      </c>
      <c r="E69" s="18" t="n">
        <f aca="false">'Top Products'!E6</f>
        <v>0.112944047354059</v>
      </c>
      <c r="F69" s="14" t="n">
        <f aca="false">'Top Products'!F6</f>
        <v>2791</v>
      </c>
      <c r="G69" s="4" t="str">
        <f aca="false">'Top Products'!G6</f>
        <v>Luxury Beauty</v>
      </c>
    </row>
    <row r="70" customFormat="false" ht="15" hidden="false" customHeight="false" outlineLevel="0" collapsed="false">
      <c r="A70" s="17" t="n">
        <f aca="false">'Top Products'!A7</f>
        <v>3</v>
      </c>
      <c r="B70" s="4" t="str">
        <f aca="false">'Top Products'!B7</f>
        <v>Maybelline Beard Oil</v>
      </c>
      <c r="C70" s="14" t="n">
        <f aca="false">'Top Products'!C7</f>
        <v>13700</v>
      </c>
      <c r="D70" s="4" t="str">
        <f aca="false">'Top Products'!D7</f>
        <v>Approx.</v>
      </c>
      <c r="E70" s="18" t="n">
        <f aca="false">'Top Products'!E7</f>
        <v>0.112944047354059</v>
      </c>
      <c r="F70" s="14" t="n">
        <f aca="false">'Top Products'!F7</f>
        <v>4908</v>
      </c>
      <c r="G70" s="4" t="str">
        <f aca="false">'Top Products'!G7</f>
        <v>Fragrance</v>
      </c>
    </row>
    <row r="71" customFormat="false" ht="15" hidden="false" customHeight="false" outlineLevel="0" collapsed="false">
      <c r="A71" s="17" t="n">
        <f aca="false">'Top Products'!A8</f>
        <v>4</v>
      </c>
      <c r="B71" s="4" t="str">
        <f aca="false">'Top Products'!B8</f>
        <v>Forest Essentials Eyeliner</v>
      </c>
      <c r="C71" s="14" t="n">
        <f aca="false">'Top Products'!C8</f>
        <v>12000</v>
      </c>
      <c r="D71" s="4" t="str">
        <f aca="false">'Top Products'!D8</f>
        <v>Approx.</v>
      </c>
      <c r="E71" s="18" t="n">
        <f aca="false">'Top Products'!E8</f>
        <v>0.0989290925728984</v>
      </c>
      <c r="F71" s="14" t="n">
        <f aca="false">'Top Products'!F8</f>
        <v>3701</v>
      </c>
      <c r="G71" s="4" t="str">
        <f aca="false">'Top Products'!G8</f>
        <v>Bath &amp; Body</v>
      </c>
    </row>
    <row r="72" customFormat="false" ht="15" hidden="false" customHeight="false" outlineLevel="0" collapsed="false">
      <c r="A72" s="17" t="n">
        <f aca="false">'Top Products'!A9</f>
        <v>5</v>
      </c>
      <c r="B72" s="4" t="str">
        <f aca="false">'Top Products'!B9</f>
        <v>Kay Beauty Vitamin C Serum</v>
      </c>
      <c r="C72" s="14" t="n">
        <f aca="false">'Top Products'!C9</f>
        <v>10900</v>
      </c>
      <c r="D72" s="4" t="str">
        <f aca="false">'Top Products'!D9</f>
        <v>Approx.</v>
      </c>
      <c r="E72" s="18" t="n">
        <f aca="false">'Top Products'!E9</f>
        <v>0.0898605924203827</v>
      </c>
      <c r="F72" s="14" t="n">
        <f aca="false">'Top Products'!F9</f>
        <v>2540</v>
      </c>
      <c r="G72" s="4" t="str">
        <f aca="false">'Top Products'!G9</f>
        <v>Wellness &amp; Nutrition</v>
      </c>
    </row>
    <row r="73" customFormat="false" ht="15" hidden="false" customHeight="false" outlineLevel="0" collapsed="false">
      <c r="A73" s="17" t="n">
        <f aca="false">'Top Products'!A10</f>
        <v>6</v>
      </c>
      <c r="B73" s="4" t="str">
        <f aca="false">'Top Products'!B10</f>
        <v>Minimalist Hair Oil</v>
      </c>
      <c r="C73" s="14" t="n">
        <f aca="false">'Top Products'!C10</f>
        <v>9500</v>
      </c>
      <c r="D73" s="4" t="str">
        <f aca="false">'Top Products'!D10</f>
        <v>Approx.</v>
      </c>
      <c r="E73" s="18" t="n">
        <f aca="false">'Top Products'!E10</f>
        <v>0.0783188649535446</v>
      </c>
      <c r="F73" s="14" t="str">
        <f aca="false">'Top Products'!F10</f>
        <v>n/a</v>
      </c>
      <c r="G73" s="4" t="str">
        <f aca="false">'Top Products'!G10</f>
        <v>n/a</v>
      </c>
    </row>
    <row r="74" customFormat="false" ht="15" hidden="false" customHeight="false" outlineLevel="0" collapsed="false">
      <c r="A74" s="17" t="n">
        <f aca="false">'Top Products'!A11</f>
        <v>7</v>
      </c>
      <c r="B74" s="4" t="str">
        <f aca="false">'Top Products'!B11</f>
        <v>Colorbar Face Mist</v>
      </c>
      <c r="C74" s="14" t="n">
        <f aca="false">'Top Products'!C11</f>
        <v>7400</v>
      </c>
      <c r="D74" s="4" t="str">
        <f aca="false">'Top Products'!D11</f>
        <v>Approx.</v>
      </c>
      <c r="E74" s="18" t="n">
        <f aca="false">'Top Products'!E11</f>
        <v>0.0610062737532873</v>
      </c>
      <c r="F74" s="14" t="str">
        <f aca="false">'Top Products'!F11</f>
        <v>n/a</v>
      </c>
      <c r="G74" s="4" t="str">
        <f aca="false">'Top Products'!G11</f>
        <v>n/a</v>
      </c>
    </row>
    <row r="75" customFormat="false" ht="15" hidden="false" customHeight="false" outlineLevel="0" collapsed="false">
      <c r="A75" s="17" t="n">
        <f aca="false">'Top Products'!A12</f>
        <v>8</v>
      </c>
      <c r="B75" s="4" t="str">
        <f aca="false">'Top Products'!B12</f>
        <v>Faces Canada Matte Lipstick</v>
      </c>
      <c r="C75" s="14" t="n">
        <f aca="false">'Top Products'!C12</f>
        <v>7100</v>
      </c>
      <c r="D75" s="4" t="str">
        <f aca="false">'Top Products'!D12</f>
        <v>Approx.</v>
      </c>
      <c r="E75" s="18" t="n">
        <f aca="false">'Top Products'!E12</f>
        <v>0.0585330464389649</v>
      </c>
      <c r="F75" s="14" t="str">
        <f aca="false">'Top Products'!F12</f>
        <v>n/a</v>
      </c>
      <c r="G75" s="4" t="str">
        <f aca="false">'Top Products'!G12</f>
        <v>n/a</v>
      </c>
    </row>
    <row r="76" customFormat="false" ht="15" hidden="false" customHeight="false" outlineLevel="0" collapsed="false">
      <c r="A76" s="17" t="n">
        <f aca="false">'Top Products'!A13</f>
        <v>9</v>
      </c>
      <c r="B76" s="4" t="str">
        <f aca="false">'Top Products'!B13</f>
        <v>Kay Beauty Eau de Parfum</v>
      </c>
      <c r="C76" s="14" t="n">
        <f aca="false">'Top Products'!C13</f>
        <v>6700</v>
      </c>
      <c r="D76" s="4" t="str">
        <f aca="false">'Top Products'!D13</f>
        <v>Approx.</v>
      </c>
      <c r="E76" s="18" t="n">
        <f aca="false">'Top Products'!E13</f>
        <v>0.0552354100198683</v>
      </c>
      <c r="F76" s="14" t="n">
        <f aca="false">'Top Products'!F13</f>
        <v>2533</v>
      </c>
      <c r="G76" s="4" t="str">
        <f aca="false">'Top Products'!G13</f>
        <v>Wellness &amp; Nutrition</v>
      </c>
    </row>
    <row r="77" customFormat="false" ht="15" hidden="false" customHeight="false" outlineLevel="0" collapsed="false">
      <c r="A77" s="17" t="n">
        <f aca="false">'Top Products'!A14</f>
        <v>10</v>
      </c>
      <c r="B77" s="4" t="str">
        <f aca="false">'Top Products'!B14</f>
        <v>MyGlamm Under Eye Cream</v>
      </c>
      <c r="C77" s="14" t="n">
        <f aca="false">'Top Products'!C14</f>
        <v>5900</v>
      </c>
      <c r="D77" s="4" t="str">
        <f aca="false">'Top Products'!D14</f>
        <v>Approx.</v>
      </c>
      <c r="E77" s="18" t="n">
        <f aca="false">'Top Products'!E14</f>
        <v>0.048640137181675</v>
      </c>
      <c r="F77" s="14" t="str">
        <f aca="false">'Top Products'!F14</f>
        <v>n/a</v>
      </c>
      <c r="G77" s="4" t="str">
        <f aca="false">'Top Products'!G14</f>
        <v>n/a</v>
      </c>
    </row>
    <row r="78" customFormat="false" ht="15" hidden="false" customHeight="false" outlineLevel="0" collapsed="false">
      <c r="B78" s="19" t="str">
        <f aca="false">'Top Products'!B15</f>
        <v>Top-10 total</v>
      </c>
      <c r="C78" s="20" t="n">
        <f aca="false">'Top Products'!C15</f>
        <v>121299</v>
      </c>
      <c r="E78" s="22" t="n">
        <f aca="false">'Top Products'!E15</f>
        <v>1</v>
      </c>
    </row>
    <row r="81" customFormat="false" ht="15" hidden="false" customHeight="false" outlineLevel="0" collapsed="false">
      <c r="A81" s="12" t="s">
        <v>44</v>
      </c>
    </row>
    <row r="82" customFormat="false" ht="15" hidden="false" customHeight="false" outlineLevel="0" collapsed="false">
      <c r="A82" s="13" t="str">
        <f aca="false">'Ratings &amp; Quality'!A4</f>
        <v>Product</v>
      </c>
      <c r="B82" s="13" t="str">
        <f aca="false">'Ratings &amp; Quality'!B4</f>
        <v>Monthly Orders</v>
      </c>
      <c r="C82" s="13" t="str">
        <f aca="false">'Ratings &amp; Quality'!C4</f>
        <v>Current Rating</v>
      </c>
      <c r="D82" s="13" t="str">
        <f aca="false">'Ratings &amp; Quality'!D4</f>
        <v>Risk Threshold</v>
      </c>
      <c r="E82" s="13" t="str">
        <f aca="false">'Ratings &amp; Quality'!E4</f>
        <v>Below Threshold?</v>
      </c>
      <c r="F82" s="13" t="str">
        <f aca="false">'Ratings &amp; Quality'!F4</f>
        <v>Declining 7-day Trend?</v>
      </c>
      <c r="G82" s="13" t="str">
        <f aca="false">'Ratings &amp; Quality'!G4</f>
        <v>Product ID</v>
      </c>
    </row>
    <row r="83" customFormat="false" ht="15" hidden="false" customHeight="false" outlineLevel="0" collapsed="false">
      <c r="A83" s="4" t="str">
        <f aca="false">'Ratings &amp; Quality'!A5</f>
        <v>Sugar Hair Styling Cream</v>
      </c>
      <c r="B83" s="14" t="n">
        <f aca="false">'Ratings &amp; Quality'!B5</f>
        <v>186510</v>
      </c>
      <c r="C83" s="16" t="n">
        <f aca="false">'Ratings &amp; Quality'!C5</f>
        <v>2.54</v>
      </c>
      <c r="D83" s="16" t="n">
        <f aca="false">'Ratings &amp; Quality'!D5</f>
        <v>3.5</v>
      </c>
      <c r="E83" s="4" t="str">
        <f aca="false">'Ratings &amp; Quality'!E5</f>
        <v>High risk</v>
      </c>
      <c r="F83" s="4" t="str">
        <f aca="false">'Ratings &amp; Quality'!F5</f>
        <v>Yes</v>
      </c>
      <c r="G83" s="4" t="str">
        <f aca="false">'Ratings &amp; Quality'!G5</f>
        <v>NYKA-4026</v>
      </c>
    </row>
    <row r="84" customFormat="false" ht="15" hidden="false" customHeight="false" outlineLevel="0" collapsed="false">
      <c r="A84" s="4" t="str">
        <f aca="false">'Ratings &amp; Quality'!A6</f>
        <v>Dot &amp; Key Lip Balm</v>
      </c>
      <c r="B84" s="14" t="n">
        <f aca="false">'Ratings &amp; Quality'!B6</f>
        <v>148671</v>
      </c>
      <c r="C84" s="16" t="n">
        <f aca="false">'Ratings &amp; Quality'!C6</f>
        <v>2.72</v>
      </c>
      <c r="D84" s="16" t="n">
        <f aca="false">'Ratings &amp; Quality'!D6</f>
        <v>3.5</v>
      </c>
      <c r="E84" s="4" t="str">
        <f aca="false">'Ratings &amp; Quality'!E6</f>
        <v>High risk</v>
      </c>
      <c r="F84" s="4" t="str">
        <f aca="false">'Ratings &amp; Quality'!F6</f>
        <v>Yes</v>
      </c>
      <c r="G84" s="4" t="str">
        <f aca="false">'Ratings &amp; Quality'!G6</f>
        <v>NYKA-4015</v>
      </c>
    </row>
    <row r="85" customFormat="false" ht="15" hidden="false" customHeight="false" outlineLevel="0" collapsed="false">
      <c r="A85" s="4" t="str">
        <f aca="false">'Ratings &amp; Quality'!A7</f>
        <v>L'Oreal Paris Kajal</v>
      </c>
      <c r="B85" s="14" t="n">
        <f aca="false">'Ratings &amp; Quality'!B7</f>
        <v>90990</v>
      </c>
      <c r="C85" s="16" t="n">
        <f aca="false">'Ratings &amp; Quality'!C7</f>
        <v>3.06</v>
      </c>
      <c r="D85" s="16" t="n">
        <f aca="false">'Ratings &amp; Quality'!D7</f>
        <v>3.5</v>
      </c>
      <c r="E85" s="4" t="str">
        <f aca="false">'Ratings &amp; Quality'!E7</f>
        <v>High risk</v>
      </c>
      <c r="F85" s="4" t="str">
        <f aca="false">'Ratings &amp; Quality'!F7</f>
        <v>Yes</v>
      </c>
      <c r="G85" s="4" t="str">
        <f aca="false">'Ratings &amp; Quality'!G7</f>
        <v>NYKA-4014</v>
      </c>
    </row>
    <row r="86" customFormat="false" ht="15" hidden="false" customHeight="false" outlineLevel="0" collapsed="false">
      <c r="A86" s="4" t="str">
        <f aca="false">'Ratings &amp; Quality'!A8</f>
        <v>Forest Essentials Eyeliner</v>
      </c>
      <c r="B86" s="14" t="n">
        <f aca="false">'Ratings &amp; Quality'!B8</f>
        <v>291142</v>
      </c>
      <c r="C86" s="16" t="n">
        <f aca="false">'Ratings &amp; Quality'!C8</f>
        <v>3.44</v>
      </c>
      <c r="D86" s="16" t="n">
        <f aca="false">'Ratings &amp; Quality'!D8</f>
        <v>3.5</v>
      </c>
      <c r="E86" s="4" t="str">
        <f aca="false">'Ratings &amp; Quality'!E8</f>
        <v>High risk</v>
      </c>
      <c r="F86" s="4" t="str">
        <f aca="false">'Ratings &amp; Quality'!F8</f>
        <v>No</v>
      </c>
      <c r="G86" s="4" t="str">
        <f aca="false">'Ratings &amp; Quality'!G8</f>
        <v>n/a</v>
      </c>
    </row>
    <row r="89" customFormat="false" ht="15" hidden="false" customHeight="false" outlineLevel="0" collapsed="false">
      <c r="A89" s="12" t="s">
        <v>45</v>
      </c>
    </row>
    <row r="90" customFormat="false" ht="15" hidden="false" customHeight="false" outlineLevel="0" collapsed="false">
      <c r="A90" s="13" t="str">
        <f aca="false">'Ratings &amp; Quality'!A11</f>
        <v>Product ID</v>
      </c>
      <c r="B90" s="13" t="str">
        <f aca="false">'Ratings &amp; Quality'!B11</f>
        <v>Product</v>
      </c>
    </row>
    <row r="91" customFormat="false" ht="15" hidden="false" customHeight="false" outlineLevel="0" collapsed="false">
      <c r="A91" s="4" t="str">
        <f aca="false">'Ratings &amp; Quality'!A12</f>
        <v>NYKA-4014</v>
      </c>
      <c r="B91" s="4" t="str">
        <f aca="false">'Ratings &amp; Quality'!B12</f>
        <v>L'Oreal Paris Kajal</v>
      </c>
    </row>
    <row r="92" customFormat="false" ht="15" hidden="false" customHeight="false" outlineLevel="0" collapsed="false">
      <c r="A92" s="4" t="str">
        <f aca="false">'Ratings &amp; Quality'!A13</f>
        <v>NYKA-4015</v>
      </c>
      <c r="B92" s="4" t="str">
        <f aca="false">'Ratings &amp; Quality'!B13</f>
        <v>Dot &amp; Key Lip Balm</v>
      </c>
    </row>
    <row r="93" customFormat="false" ht="15" hidden="false" customHeight="false" outlineLevel="0" collapsed="false">
      <c r="A93" s="4" t="str">
        <f aca="false">'Ratings &amp; Quality'!A14</f>
        <v>NYKA-4026</v>
      </c>
      <c r="B93" s="4" t="str">
        <f aca="false">'Ratings &amp; Quality'!B14</f>
        <v>Sugar Hair Styling Cream</v>
      </c>
    </row>
    <row r="94" customFormat="false" ht="15" hidden="false" customHeight="false" outlineLevel="0" collapsed="false">
      <c r="A94" s="4" t="str">
        <f aca="false">'Ratings &amp; Quality'!A15</f>
        <v>NYKA-4031</v>
      </c>
      <c r="B94" s="4" t="str">
        <f aca="false">'Ratings &amp; Quality'!B15</f>
        <v>Re'Equil Shampoo</v>
      </c>
    </row>
    <row r="95" customFormat="false" ht="15" hidden="false" customHeight="false" outlineLevel="0" collapsed="false">
      <c r="A95" s="4" t="str">
        <f aca="false">'Ratings &amp; Quality'!A16</f>
        <v>NYKA-4048</v>
      </c>
      <c r="B95" s="4" t="str">
        <f aca="false">'Ratings &amp; Quality'!B16</f>
        <v>MyGlamm Kajal</v>
      </c>
    </row>
    <row r="96" customFormat="false" ht="15" hidden="false" customHeight="false" outlineLevel="0" collapsed="false">
      <c r="A96" s="4" t="str">
        <f aca="false">'Ratings &amp; Quality'!A17</f>
        <v>NYKA-4052</v>
      </c>
      <c r="B96" s="4" t="str">
        <f aca="false">'Ratings &amp; Quality'!B17</f>
        <v>Lakme Hair Oil</v>
      </c>
    </row>
    <row r="99" customFormat="false" ht="15" hidden="false" customHeight="false" outlineLevel="0" collapsed="false">
      <c r="A99" s="12" t="s">
        <v>46</v>
      </c>
    </row>
    <row r="100" customFormat="false" ht="15" hidden="false" customHeight="false" outlineLevel="0" collapsed="false">
      <c r="A100" s="13" t="str">
        <f aca="false">'Contract Renewal'!A4</f>
        <v>Product Listing</v>
      </c>
      <c r="B100" s="13" t="str">
        <f aca="false">'Contract Renewal'!B4</f>
        <v>Est. Days to Renewal</v>
      </c>
      <c r="C100" s="13" t="str">
        <f aca="false">'Contract Renewal'!C4</f>
        <v>Renewal Trigger (days)</v>
      </c>
      <c r="D100" s="13" t="str">
        <f aca="false">'Contract Renewal'!D4</f>
        <v>Status</v>
      </c>
    </row>
    <row r="101" customFormat="false" ht="15" hidden="false" customHeight="false" outlineLevel="0" collapsed="false">
      <c r="A101" s="4" t="str">
        <f aca="false">'Contract Renewal'!A5</f>
        <v>Sugar Hair Styling Cream</v>
      </c>
      <c r="B101" s="17" t="n">
        <f aca="false">'Contract Renewal'!B5</f>
        <v>11</v>
      </c>
      <c r="C101" s="17" t="n">
        <f aca="false">'Contract Renewal'!C5</f>
        <v>30</v>
      </c>
      <c r="D101" s="4" t="str">
        <f aca="false">'Contract Renewal'!D5</f>
        <v>Renewal Due Soon</v>
      </c>
    </row>
    <row r="102" customFormat="false" ht="15" hidden="false" customHeight="false" outlineLevel="0" collapsed="false">
      <c r="A102" s="4" t="str">
        <f aca="false">'Contract Renewal'!A6</f>
        <v>MyGlamm Kajal</v>
      </c>
      <c r="B102" s="17" t="n">
        <f aca="false">'Contract Renewal'!B6</f>
        <v>20</v>
      </c>
      <c r="C102" s="17" t="n">
        <f aca="false">'Contract Renewal'!C6</f>
        <v>30</v>
      </c>
      <c r="D102" s="4" t="str">
        <f aca="false">'Contract Renewal'!D6</f>
        <v>Renewal Due Soon</v>
      </c>
    </row>
    <row r="103" customFormat="false" ht="15" hidden="false" customHeight="false" outlineLevel="0" collapsed="false">
      <c r="A103" s="4" t="str">
        <f aca="false">'Contract Renewal'!A7</f>
        <v>Biotique Kajal</v>
      </c>
      <c r="B103" s="17" t="n">
        <f aca="false">'Contract Renewal'!B7</f>
        <v>24</v>
      </c>
      <c r="C103" s="17" t="n">
        <f aca="false">'Contract Renewal'!C7</f>
        <v>30</v>
      </c>
      <c r="D103" s="4" t="str">
        <f aca="false">'Contract Renewal'!D7</f>
        <v>Renewal Due Soon</v>
      </c>
    </row>
    <row r="104" customFormat="false" ht="15" hidden="false" customHeight="false" outlineLevel="0" collapsed="false">
      <c r="A104" s="4" t="str">
        <f aca="false">'Contract Renewal'!A8</f>
        <v>L'Oreal Paris BB Cream</v>
      </c>
      <c r="B104" s="17" t="n">
        <f aca="false">'Contract Renewal'!B8</f>
        <v>24</v>
      </c>
      <c r="C104" s="17" t="n">
        <f aca="false">'Contract Renewal'!C8</f>
        <v>30</v>
      </c>
      <c r="D104" s="4" t="str">
        <f aca="false">'Contract Renewal'!D8</f>
        <v>Renewal Due Soon</v>
      </c>
    </row>
    <row r="105" customFormat="false" ht="15" hidden="false" customHeight="false" outlineLevel="0" collapsed="false">
      <c r="A105" s="4" t="str">
        <f aca="false">'Contract Renewal'!A9</f>
        <v>Faces Canada Matte Lipstick</v>
      </c>
      <c r="B105" s="17" t="n">
        <f aca="false">'Contract Renewal'!B9</f>
        <v>29</v>
      </c>
      <c r="C105" s="17" t="n">
        <f aca="false">'Contract Renewal'!C9</f>
        <v>30</v>
      </c>
      <c r="D105" s="4" t="str">
        <f aca="false">'Contract Renewal'!D9</f>
        <v>Renewal Due Soon</v>
      </c>
    </row>
    <row r="106" customFormat="false" ht="15" hidden="false" customHeight="false" outlineLevel="0" collapsed="false">
      <c r="A106" s="4" t="str">
        <f aca="false">'Contract Renewal'!A10</f>
        <v>Nivea Beard Oil</v>
      </c>
      <c r="B106" s="17" t="n">
        <f aca="false">'Contract Renewal'!B10</f>
        <v>44</v>
      </c>
      <c r="C106" s="17" t="n">
        <f aca="false">'Contract Renewal'!C10</f>
        <v>30</v>
      </c>
      <c r="D106" s="4" t="str">
        <f aca="false">'Contract Renewal'!D10</f>
        <v>Active</v>
      </c>
    </row>
    <row r="107" customFormat="false" ht="15" hidden="false" customHeight="false" outlineLevel="0" collapsed="false">
      <c r="A107" s="4" t="str">
        <f aca="false">'Contract Renewal'!A11</f>
        <v>Colorbar Kajal Pencil</v>
      </c>
      <c r="B107" s="17" t="n">
        <f aca="false">'Contract Renewal'!B11</f>
        <v>48</v>
      </c>
      <c r="C107" s="17" t="n">
        <f aca="false">'Contract Renewal'!C11</f>
        <v>30</v>
      </c>
      <c r="D107" s="4" t="str">
        <f aca="false">'Contract Renewal'!D11</f>
        <v>Active</v>
      </c>
    </row>
    <row r="108" customFormat="false" ht="15" hidden="false" customHeight="false" outlineLevel="0" collapsed="false">
      <c r="A108" s="4" t="str">
        <f aca="false">'Contract Renewal'!A12</f>
        <v>L'Oreal Paris Kajal</v>
      </c>
      <c r="B108" s="17" t="n">
        <f aca="false">'Contract Renewal'!B12</f>
        <v>60</v>
      </c>
      <c r="C108" s="17" t="n">
        <f aca="false">'Contract Renewal'!C12</f>
        <v>30</v>
      </c>
      <c r="D108" s="4" t="str">
        <f aca="false">'Contract Renewal'!D12</f>
        <v>Active</v>
      </c>
    </row>
    <row r="109" customFormat="false" ht="15" hidden="false" customHeight="false" outlineLevel="0" collapsed="false">
      <c r="A109" s="4" t="str">
        <f aca="false">'Contract Renewal'!A13</f>
        <v>WOW Skin Science BB Cream</v>
      </c>
      <c r="B109" s="17" t="n">
        <f aca="false">'Contract Renewal'!B13</f>
        <v>61</v>
      </c>
      <c r="C109" s="17" t="n">
        <f aca="false">'Contract Renewal'!C13</f>
        <v>30</v>
      </c>
      <c r="D109" s="4" t="str">
        <f aca="false">'Contract Renewal'!D13</f>
        <v>Active</v>
      </c>
    </row>
    <row r="110" customFormat="false" ht="15" hidden="false" customHeight="false" outlineLevel="0" collapsed="false">
      <c r="A110" s="4" t="str">
        <f aca="false">'Contract Renewal'!A14</f>
        <v>MyGlamm Hair Mask</v>
      </c>
      <c r="B110" s="17" t="n">
        <f aca="false">'Contract Renewal'!B14</f>
        <v>63</v>
      </c>
      <c r="C110" s="17" t="n">
        <f aca="false">'Contract Renewal'!C14</f>
        <v>30</v>
      </c>
      <c r="D110" s="4" t="str">
        <f aca="false">'Contract Renewal'!D14</f>
        <v>Active</v>
      </c>
    </row>
    <row r="111" customFormat="false" ht="15" hidden="false" customHeight="false" outlineLevel="0" collapsed="false">
      <c r="A111" s="19" t="str">
        <f aca="false">'Contract Renewal'!A16</f>
        <v>Listings due soon (of 10 shown)</v>
      </c>
      <c r="B111" s="26" t="n">
        <f aca="false">'Contract Renewal'!B16</f>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20"/>
    <col collapsed="false" customWidth="true" hidden="false" outlineLevel="0" max="4" min="4" style="0" width="16"/>
    <col collapsed="false" customWidth="true" hidden="false" outlineLevel="0" max="6" min="5" style="0" width="14"/>
    <col collapsed="false" customWidth="true" hidden="false" outlineLevel="0" max="7" min="7" style="0" width="18"/>
  </cols>
  <sheetData>
    <row r="1" customFormat="false" ht="17.35" hidden="false" customHeight="false" outlineLevel="0" collapsed="false">
      <c r="A1" s="1" t="s">
        <v>47</v>
      </c>
    </row>
    <row r="2" customFormat="false" ht="15" hidden="false" customHeight="false" outlineLevel="0" collapsed="false">
      <c r="A2" s="2" t="s">
        <v>48</v>
      </c>
    </row>
    <row r="4" customFormat="false" ht="31.5" hidden="false" customHeight="true" outlineLevel="0" collapsed="false">
      <c r="A4" s="27" t="s">
        <v>39</v>
      </c>
      <c r="B4" s="27" t="s">
        <v>49</v>
      </c>
      <c r="C4" s="27" t="s">
        <v>50</v>
      </c>
      <c r="D4" s="27" t="s">
        <v>51</v>
      </c>
      <c r="E4" s="27" t="s">
        <v>52</v>
      </c>
      <c r="F4" s="27" t="s">
        <v>53</v>
      </c>
      <c r="G4" s="27" t="s">
        <v>54</v>
      </c>
    </row>
    <row r="5" customFormat="false" ht="15" hidden="false" customHeight="false" outlineLevel="0" collapsed="false">
      <c r="A5" s="4" t="s">
        <v>36</v>
      </c>
      <c r="B5" s="28" t="n">
        <v>652909</v>
      </c>
      <c r="C5" s="28" t="n">
        <v>1566981600</v>
      </c>
      <c r="D5" s="15" t="n">
        <f aca="false">C5/10000000</f>
        <v>156.69816</v>
      </c>
      <c r="E5" s="18" t="n">
        <f aca="false">B5/$B$15</f>
        <v>0.0948828077599668</v>
      </c>
      <c r="F5" s="18" t="n">
        <f aca="false">C5/$C$15</f>
        <v>0.241674102923728</v>
      </c>
      <c r="G5" s="14" t="n">
        <f aca="false">C5/B5</f>
        <v>2400</v>
      </c>
    </row>
    <row r="6" customFormat="false" ht="15" hidden="false" customHeight="false" outlineLevel="0" collapsed="false">
      <c r="A6" s="4" t="s">
        <v>55</v>
      </c>
      <c r="B6" s="28" t="n">
        <v>747580</v>
      </c>
      <c r="C6" s="28" t="n">
        <v>1083991000</v>
      </c>
      <c r="D6" s="15" t="n">
        <f aca="false">C6/10000000</f>
        <v>108.3991</v>
      </c>
      <c r="E6" s="18" t="n">
        <f aca="false">B6/$B$15</f>
        <v>0.108640697900007</v>
      </c>
      <c r="F6" s="18" t="n">
        <f aca="false">C6/$C$15</f>
        <v>0.16718291555076</v>
      </c>
      <c r="G6" s="14" t="n">
        <f aca="false">C6/B6</f>
        <v>1450</v>
      </c>
    </row>
    <row r="7" customFormat="false" ht="15" hidden="false" customHeight="false" outlineLevel="0" collapsed="false">
      <c r="A7" s="4" t="s">
        <v>56</v>
      </c>
      <c r="B7" s="28" t="n">
        <v>391521</v>
      </c>
      <c r="C7" s="28" t="n">
        <v>724313850</v>
      </c>
      <c r="D7" s="15" t="n">
        <f aca="false">C7/10000000</f>
        <v>72.431385</v>
      </c>
      <c r="E7" s="18" t="n">
        <f aca="false">B7/$B$15</f>
        <v>0.0568970741358903</v>
      </c>
      <c r="F7" s="18" t="n">
        <f aca="false">C7/$C$15</f>
        <v>0.111710245949271</v>
      </c>
      <c r="G7" s="14" t="n">
        <f aca="false">C7/B7</f>
        <v>1850</v>
      </c>
    </row>
    <row r="8" customFormat="false" ht="15" hidden="false" customHeight="false" outlineLevel="0" collapsed="false">
      <c r="A8" s="4" t="s">
        <v>57</v>
      </c>
      <c r="B8" s="28" t="n">
        <v>1066865</v>
      </c>
      <c r="C8" s="28" t="n">
        <v>650787650</v>
      </c>
      <c r="D8" s="15" t="n">
        <f aca="false">C8/10000000</f>
        <v>65.078765</v>
      </c>
      <c r="E8" s="18" t="n">
        <f aca="false">B8/$B$15</f>
        <v>0.155040207288974</v>
      </c>
      <c r="F8" s="18" t="n">
        <f aca="false">C8/$C$15</f>
        <v>0.100370369063422</v>
      </c>
      <c r="G8" s="14" t="n">
        <f aca="false">C8/B8</f>
        <v>610</v>
      </c>
    </row>
    <row r="9" customFormat="false" ht="15" hidden="false" customHeight="false" outlineLevel="0" collapsed="false">
      <c r="A9" s="4" t="s">
        <v>58</v>
      </c>
      <c r="B9" s="28" t="n">
        <v>870672</v>
      </c>
      <c r="C9" s="28" t="n">
        <v>600763680</v>
      </c>
      <c r="D9" s="15" t="n">
        <f aca="false">C9/10000000</f>
        <v>60.076368</v>
      </c>
      <c r="E9" s="18" t="n">
        <f aca="false">B9/$B$15</f>
        <v>0.126528817948574</v>
      </c>
      <c r="F9" s="18" t="n">
        <f aca="false">C9/$C$15</f>
        <v>0.0926552190741473</v>
      </c>
      <c r="G9" s="14" t="n">
        <f aca="false">C9/B9</f>
        <v>690</v>
      </c>
    </row>
    <row r="10" customFormat="false" ht="15" hidden="false" customHeight="false" outlineLevel="0" collapsed="false">
      <c r="A10" s="4" t="s">
        <v>59</v>
      </c>
      <c r="B10" s="28" t="n">
        <v>1212795</v>
      </c>
      <c r="C10" s="28" t="n">
        <v>582141600</v>
      </c>
      <c r="D10" s="15" t="n">
        <f aca="false">C10/10000000</f>
        <v>58.21416</v>
      </c>
      <c r="E10" s="18" t="n">
        <f aca="false">B10/$B$15</f>
        <v>0.176247217969501</v>
      </c>
      <c r="F10" s="18" t="n">
        <f aca="false">C10/$C$15</f>
        <v>0.0897831531363125</v>
      </c>
      <c r="G10" s="14" t="n">
        <f aca="false">C10/B10</f>
        <v>480</v>
      </c>
    </row>
    <row r="11" customFormat="false" ht="15" hidden="false" customHeight="false" outlineLevel="0" collapsed="false">
      <c r="A11" s="4" t="s">
        <v>28</v>
      </c>
      <c r="B11" s="28" t="n">
        <v>683246</v>
      </c>
      <c r="C11" s="28" t="n">
        <v>444109900</v>
      </c>
      <c r="D11" s="15" t="n">
        <f aca="false">C11/10000000</f>
        <v>44.41099</v>
      </c>
      <c r="E11" s="18" t="n">
        <f aca="false">B11/$B$15</f>
        <v>0.0992914768685472</v>
      </c>
      <c r="F11" s="18" t="n">
        <f aca="false">C11/$C$15</f>
        <v>0.0684946534675626</v>
      </c>
      <c r="G11" s="14" t="n">
        <f aca="false">C11/B11</f>
        <v>650</v>
      </c>
    </row>
    <row r="12" customFormat="false" ht="15" hidden="false" customHeight="false" outlineLevel="0" collapsed="false">
      <c r="A12" s="4" t="s">
        <v>60</v>
      </c>
      <c r="B12" s="28" t="n">
        <v>569356</v>
      </c>
      <c r="C12" s="28" t="n">
        <v>444097680</v>
      </c>
      <c r="D12" s="15" t="n">
        <f aca="false">C12/10000000</f>
        <v>44.409768</v>
      </c>
      <c r="E12" s="18" t="n">
        <f aca="false">B12/$B$15</f>
        <v>0.0827406206607409</v>
      </c>
      <c r="F12" s="18" t="n">
        <f aca="false">C12/$C$15</f>
        <v>0.0684927687884204</v>
      </c>
      <c r="G12" s="14" t="n">
        <f aca="false">C12/B12</f>
        <v>780</v>
      </c>
    </row>
    <row r="13" customFormat="false" ht="15" hidden="false" customHeight="false" outlineLevel="0" collapsed="false">
      <c r="A13" s="4" t="s">
        <v>61</v>
      </c>
      <c r="B13" s="28" t="n">
        <v>425920</v>
      </c>
      <c r="C13" s="28" t="n">
        <v>251292800</v>
      </c>
      <c r="D13" s="15" t="n">
        <f aca="false">C13/10000000</f>
        <v>25.12928</v>
      </c>
      <c r="E13" s="18" t="n">
        <f aca="false">B13/$B$15</f>
        <v>0.0618960459744391</v>
      </c>
      <c r="F13" s="18" t="n">
        <f aca="false">C13/$C$15</f>
        <v>0.0387566529250834</v>
      </c>
      <c r="G13" s="14" t="n">
        <f aca="false">C13/B13</f>
        <v>590</v>
      </c>
    </row>
    <row r="14" customFormat="false" ht="15" hidden="false" customHeight="false" outlineLevel="0" collapsed="false">
      <c r="A14" s="4" t="s">
        <v>62</v>
      </c>
      <c r="B14" s="28" t="n">
        <v>260351</v>
      </c>
      <c r="C14" s="28" t="n">
        <v>135382520</v>
      </c>
      <c r="D14" s="15" t="n">
        <f aca="false">C14/10000000</f>
        <v>13.538252</v>
      </c>
      <c r="E14" s="18" t="n">
        <f aca="false">B14/$B$15</f>
        <v>0.0378350334933584</v>
      </c>
      <c r="F14" s="18" t="n">
        <f aca="false">C14/$C$15</f>
        <v>0.0208799191212926</v>
      </c>
      <c r="G14" s="14" t="n">
        <f aca="false">C14/B14</f>
        <v>520</v>
      </c>
    </row>
    <row r="15" customFormat="false" ht="15" hidden="false" customHeight="false" outlineLevel="0" collapsed="false">
      <c r="A15" s="19" t="s">
        <v>63</v>
      </c>
      <c r="B15" s="20" t="n">
        <f aca="false">SUM(B5:B14)</f>
        <v>6881215</v>
      </c>
      <c r="C15" s="20" t="n">
        <f aca="false">SUM(C5:C14)</f>
        <v>6483862280</v>
      </c>
      <c r="D15" s="21" t="n">
        <f aca="false">SUM(D5:D14)</f>
        <v>648.386228</v>
      </c>
      <c r="E15" s="22" t="n">
        <f aca="false">SUM(E5:E14)</f>
        <v>1</v>
      </c>
      <c r="F15" s="22" t="n">
        <f aca="false">SUM(F5:F14)</f>
        <v>1</v>
      </c>
      <c r="G15" s="20" t="n">
        <f aca="false">C15/B15</f>
        <v>942.255441807878</v>
      </c>
    </row>
    <row r="17" customFormat="false" ht="15" hidden="false" customHeight="false" outlineLevel="0" collapsed="false">
      <c r="A17" s="2" t="s">
        <v>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22"/>
    <col collapsed="false" customWidth="true" hidden="false" outlineLevel="0" max="4" min="4" style="0" width="24"/>
  </cols>
  <sheetData>
    <row r="1" customFormat="false" ht="17.35" hidden="false" customHeight="false" outlineLevel="0" collapsed="false">
      <c r="A1" s="1" t="s">
        <v>65</v>
      </c>
    </row>
    <row r="2" customFormat="false" ht="15" hidden="false" customHeight="false" outlineLevel="0" collapsed="false">
      <c r="A2" s="2" t="s">
        <v>66</v>
      </c>
    </row>
    <row r="4" customFormat="false" ht="31.5" hidden="false" customHeight="true" outlineLevel="0" collapsed="false">
      <c r="A4" s="27" t="s">
        <v>67</v>
      </c>
      <c r="B4" s="27" t="s">
        <v>68</v>
      </c>
      <c r="C4" s="27" t="s">
        <v>69</v>
      </c>
      <c r="D4" s="27" t="s">
        <v>70</v>
      </c>
    </row>
    <row r="5" customFormat="false" ht="15" hidden="false" customHeight="false" outlineLevel="0" collapsed="false">
      <c r="A5" s="4" t="s">
        <v>26</v>
      </c>
      <c r="B5" s="28" t="n">
        <v>3349174</v>
      </c>
      <c r="C5" s="18" t="n">
        <f aca="false">B5/$B$10</f>
        <v>0.49000014191563</v>
      </c>
      <c r="D5" s="29" t="n">
        <v>0.49</v>
      </c>
    </row>
    <row r="6" customFormat="false" ht="15" hidden="false" customHeight="false" outlineLevel="0" collapsed="false">
      <c r="A6" s="4" t="s">
        <v>71</v>
      </c>
      <c r="B6" s="28" t="n">
        <v>1845463</v>
      </c>
      <c r="C6" s="18" t="n">
        <f aca="false">B6/$B$10</f>
        <v>0.27000004535448</v>
      </c>
      <c r="D6" s="29" t="n">
        <v>0.27</v>
      </c>
    </row>
    <row r="7" customFormat="false" ht="15" hidden="false" customHeight="false" outlineLevel="0" collapsed="false">
      <c r="A7" s="4" t="s">
        <v>72</v>
      </c>
      <c r="B7" s="28" t="n">
        <v>1025257</v>
      </c>
      <c r="C7" s="18" t="n">
        <f aca="false">B7/$B$10</f>
        <v>0.149999992684761</v>
      </c>
      <c r="D7" s="29" t="n">
        <v>0.15</v>
      </c>
    </row>
    <row r="8" customFormat="false" ht="15" hidden="false" customHeight="false" outlineLevel="0" collapsed="false">
      <c r="A8" s="4" t="s">
        <v>73</v>
      </c>
      <c r="B8" s="28" t="n">
        <v>478453</v>
      </c>
      <c r="C8" s="18" t="n">
        <f aca="false">B8/$B$10</f>
        <v>0.0699999575716158</v>
      </c>
      <c r="D8" s="29" t="n">
        <v>0.07</v>
      </c>
    </row>
    <row r="9" customFormat="false" ht="15" hidden="false" customHeight="false" outlineLevel="0" collapsed="false">
      <c r="A9" s="4" t="s">
        <v>74</v>
      </c>
      <c r="B9" s="28" t="n">
        <v>136700</v>
      </c>
      <c r="C9" s="18" t="n">
        <f aca="false">B9/$B$10</f>
        <v>0.0199998624735134</v>
      </c>
      <c r="D9" s="29" t="n">
        <v>0.02</v>
      </c>
    </row>
    <row r="10" customFormat="false" ht="15" hidden="false" customHeight="false" outlineLevel="0" collapsed="false">
      <c r="A10" s="19" t="s">
        <v>63</v>
      </c>
      <c r="B10" s="20" t="n">
        <f aca="false">SUM(B5:B9)</f>
        <v>6835047</v>
      </c>
      <c r="C10" s="22" t="n">
        <f aca="false">SUM(C5:C9)</f>
        <v>1</v>
      </c>
      <c r="D10" s="24" t="n">
        <f aca="false">SUM(D5:D9)</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0"/>
    <col collapsed="false" customWidth="true" hidden="false" outlineLevel="0" max="3" min="3" style="0" width="16"/>
    <col collapsed="false" customWidth="true" hidden="false" outlineLevel="0" max="4" min="4" style="0" width="18"/>
    <col collapsed="false" customWidth="true" hidden="false" outlineLevel="0" max="5" min="5" style="0" width="20"/>
  </cols>
  <sheetData>
    <row r="1" customFormat="false" ht="17.35" hidden="false" customHeight="false" outlineLevel="0" collapsed="false">
      <c r="A1" s="1" t="s">
        <v>75</v>
      </c>
    </row>
    <row r="2" customFormat="false" ht="15" hidden="false" customHeight="false" outlineLevel="0" collapsed="false">
      <c r="A2" s="2" t="s">
        <v>76</v>
      </c>
    </row>
    <row r="4" customFormat="false" ht="31.5" hidden="false" customHeight="true" outlineLevel="0" collapsed="false">
      <c r="A4" s="27" t="s">
        <v>77</v>
      </c>
      <c r="B4" s="27" t="s">
        <v>78</v>
      </c>
      <c r="C4" s="27" t="s">
        <v>79</v>
      </c>
      <c r="D4" s="27" t="s">
        <v>80</v>
      </c>
      <c r="E4" s="27" t="s">
        <v>81</v>
      </c>
    </row>
    <row r="5" customFormat="false" ht="15" hidden="false" customHeight="false" outlineLevel="0" collapsed="false">
      <c r="A5" s="4" t="s">
        <v>82</v>
      </c>
      <c r="B5" s="28" t="n">
        <v>1930533091</v>
      </c>
      <c r="C5" s="15" t="n">
        <f aca="false">B5/10000000</f>
        <v>193.0533091</v>
      </c>
      <c r="D5" s="18" t="n">
        <f aca="false">B5/$B$7</f>
        <v>0.389999999977778</v>
      </c>
      <c r="E5" s="29" t="n">
        <v>0.39</v>
      </c>
    </row>
    <row r="6" customFormat="false" ht="15" hidden="false" customHeight="false" outlineLevel="0" collapsed="false">
      <c r="A6" s="4" t="s">
        <v>83</v>
      </c>
      <c r="B6" s="28" t="n">
        <v>3019551758</v>
      </c>
      <c r="C6" s="15" t="n">
        <f aca="false">B6/10000000</f>
        <v>301.9551758</v>
      </c>
      <c r="D6" s="18" t="n">
        <f aca="false">B6/$B$7</f>
        <v>0.610000000022222</v>
      </c>
      <c r="E6" s="29" t="n">
        <v>0.61</v>
      </c>
    </row>
    <row r="7" customFormat="false" ht="15" hidden="false" customHeight="false" outlineLevel="0" collapsed="false">
      <c r="A7" s="19" t="s">
        <v>63</v>
      </c>
      <c r="B7" s="20" t="n">
        <f aca="false">SUM(B5:B6)</f>
        <v>4950084849</v>
      </c>
      <c r="C7" s="21" t="n">
        <f aca="false">SUM(C5:C6)</f>
        <v>495.0084849</v>
      </c>
      <c r="D7" s="22" t="n">
        <f aca="false">SUM(D5:D6)</f>
        <v>1</v>
      </c>
      <c r="E7" s="24" t="n">
        <f aca="false">SUM(E5:E6)</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4"/>
    <col collapsed="false" customWidth="true" hidden="false" outlineLevel="0" max="3" min="3" style="0" width="16"/>
    <col collapsed="false" customWidth="true" hidden="false" outlineLevel="0" max="4" min="4" style="0" width="22"/>
  </cols>
  <sheetData>
    <row r="1" customFormat="false" ht="17.35" hidden="false" customHeight="false" outlineLevel="0" collapsed="false">
      <c r="A1" s="1" t="s">
        <v>84</v>
      </c>
    </row>
    <row r="2" customFormat="false" ht="15" hidden="false" customHeight="false" outlineLevel="0" collapsed="false">
      <c r="A2" s="2" t="s">
        <v>85</v>
      </c>
    </row>
    <row r="4" customFormat="false" ht="31.5" hidden="false" customHeight="true" outlineLevel="0" collapsed="false">
      <c r="A4" s="27" t="s">
        <v>42</v>
      </c>
      <c r="B4" s="27" t="s">
        <v>86</v>
      </c>
      <c r="C4" s="27" t="s">
        <v>52</v>
      </c>
      <c r="D4" s="27" t="s">
        <v>87</v>
      </c>
    </row>
    <row r="5" customFormat="false" ht="15" hidden="false" customHeight="false" outlineLevel="0" collapsed="false">
      <c r="A5" s="4" t="s">
        <v>31</v>
      </c>
      <c r="B5" s="30" t="n">
        <v>1.65</v>
      </c>
      <c r="C5" s="18" t="n">
        <f aca="false">B5/$B$13</f>
        <v>0.239825581395349</v>
      </c>
      <c r="D5" s="29" t="n">
        <v>0.4</v>
      </c>
    </row>
    <row r="6" customFormat="false" ht="15" hidden="false" customHeight="false" outlineLevel="0" collapsed="false">
      <c r="A6" s="4" t="s">
        <v>88</v>
      </c>
      <c r="B6" s="30" t="n">
        <v>1.39</v>
      </c>
      <c r="C6" s="18" t="n">
        <f aca="false">B6/$B$13</f>
        <v>0.20203488372093</v>
      </c>
      <c r="D6" s="29" t="n">
        <v>0.25</v>
      </c>
    </row>
    <row r="7" customFormat="false" ht="15" hidden="false" customHeight="false" outlineLevel="0" collapsed="false">
      <c r="A7" s="4" t="s">
        <v>89</v>
      </c>
      <c r="B7" s="30" t="n">
        <v>1.04</v>
      </c>
      <c r="C7" s="18" t="n">
        <f aca="false">B7/$B$13</f>
        <v>0.151162790697674</v>
      </c>
      <c r="D7" s="29" t="n">
        <v>0.22</v>
      </c>
    </row>
    <row r="8" customFormat="false" ht="15" hidden="false" customHeight="false" outlineLevel="0" collapsed="false">
      <c r="A8" s="4" t="s">
        <v>90</v>
      </c>
      <c r="B8" s="30" t="n">
        <v>0.86</v>
      </c>
      <c r="C8" s="18" t="n">
        <f aca="false">B8/$B$13</f>
        <v>0.125</v>
      </c>
      <c r="D8" s="29" t="n">
        <v>0.27</v>
      </c>
    </row>
    <row r="9" customFormat="false" ht="15" hidden="false" customHeight="false" outlineLevel="0" collapsed="false">
      <c r="A9" s="4" t="s">
        <v>91</v>
      </c>
      <c r="B9" s="30" t="n">
        <v>0.7</v>
      </c>
      <c r="C9" s="18" t="n">
        <f aca="false">B9/$B$13</f>
        <v>0.101744186046512</v>
      </c>
      <c r="D9" s="29" t="n">
        <v>0.36</v>
      </c>
    </row>
    <row r="10" customFormat="false" ht="15" hidden="false" customHeight="false" outlineLevel="0" collapsed="false">
      <c r="A10" s="4" t="s">
        <v>92</v>
      </c>
      <c r="B10" s="30" t="n">
        <v>0.65</v>
      </c>
      <c r="C10" s="18" t="n">
        <f aca="false">B10/$B$13</f>
        <v>0.0944767441860465</v>
      </c>
      <c r="D10" s="29" t="n">
        <v>0.14</v>
      </c>
    </row>
    <row r="11" customFormat="false" ht="15" hidden="false" customHeight="false" outlineLevel="0" collapsed="false">
      <c r="A11" s="4" t="s">
        <v>93</v>
      </c>
      <c r="B11" s="30" t="n">
        <v>0.39</v>
      </c>
      <c r="C11" s="18" t="n">
        <f aca="false">B11/$B$13</f>
        <v>0.0566860465116279</v>
      </c>
      <c r="D11" s="29" t="n">
        <v>0.38</v>
      </c>
    </row>
    <row r="12" customFormat="false" ht="15" hidden="false" customHeight="false" outlineLevel="0" collapsed="false">
      <c r="A12" s="4" t="s">
        <v>94</v>
      </c>
      <c r="B12" s="30" t="n">
        <v>0.2</v>
      </c>
      <c r="C12" s="18" t="n">
        <f aca="false">B12/$B$13</f>
        <v>0.0290697674418605</v>
      </c>
      <c r="D12" s="29" t="n">
        <v>0.16</v>
      </c>
    </row>
    <row r="13" customFormat="false" ht="15" hidden="false" customHeight="false" outlineLevel="0" collapsed="false">
      <c r="A13" s="19" t="s">
        <v>63</v>
      </c>
      <c r="B13" s="25" t="n">
        <f aca="false">SUM(B5:B12)</f>
        <v>6.88</v>
      </c>
      <c r="C13" s="22" t="n">
        <f aca="false">SUM(C5:C12)</f>
        <v>1</v>
      </c>
      <c r="D13" s="22" t="n">
        <f aca="false">AVERAGE(D5:D12)</f>
        <v>0.2725</v>
      </c>
    </row>
    <row r="14" customFormat="false" ht="15" hidden="false" customHeight="false" outlineLevel="0" collapsed="false">
      <c r="A14" s="2"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6"/>
    <col collapsed="false" customWidth="true" hidden="false" outlineLevel="0" max="3" min="3" style="0" width="22"/>
    <col collapsed="false" customWidth="true" hidden="false" outlineLevel="0" max="4" min="4" style="0" width="16"/>
    <col collapsed="false" customWidth="true" hidden="false" outlineLevel="0" max="5" min="5" style="0" width="20"/>
    <col collapsed="false" customWidth="true" hidden="false" outlineLevel="0" max="6" min="6" style="0" width="16"/>
    <col collapsed="false" customWidth="true" hidden="false" outlineLevel="0" max="7" min="7" style="0" width="26"/>
  </cols>
  <sheetData>
    <row r="1" customFormat="false" ht="17.35" hidden="false" customHeight="false" outlineLevel="0" collapsed="false">
      <c r="A1" s="1" t="s">
        <v>96</v>
      </c>
    </row>
    <row r="2" customFormat="false" ht="15" hidden="false" customHeight="false" outlineLevel="0" collapsed="false">
      <c r="A2" s="2" t="s">
        <v>97</v>
      </c>
    </row>
    <row r="4" customFormat="false" ht="31.5" hidden="false" customHeight="true" outlineLevel="0" collapsed="false">
      <c r="A4" s="27" t="s">
        <v>98</v>
      </c>
      <c r="B4" s="27" t="s">
        <v>99</v>
      </c>
      <c r="C4" s="27" t="s">
        <v>100</v>
      </c>
      <c r="D4" s="27" t="s">
        <v>101</v>
      </c>
      <c r="E4" s="27" t="s">
        <v>102</v>
      </c>
      <c r="F4" s="27" t="s">
        <v>103</v>
      </c>
      <c r="G4" s="27" t="s">
        <v>104</v>
      </c>
    </row>
    <row r="5" customFormat="false" ht="15" hidden="false" customHeight="false" outlineLevel="0" collapsed="false">
      <c r="A5" s="31" t="n">
        <v>1</v>
      </c>
      <c r="B5" s="4" t="s">
        <v>16</v>
      </c>
      <c r="C5" s="28" t="n">
        <v>34399</v>
      </c>
      <c r="D5" s="32" t="s">
        <v>105</v>
      </c>
      <c r="E5" s="18" t="n">
        <f aca="false">C5/$C$15</f>
        <v>0.283588487951261</v>
      </c>
      <c r="F5" s="28" t="n">
        <v>5581</v>
      </c>
      <c r="G5" s="4" t="s">
        <v>57</v>
      </c>
    </row>
    <row r="6" customFormat="false" ht="15" hidden="false" customHeight="false" outlineLevel="0" collapsed="false">
      <c r="A6" s="31" t="n">
        <v>2</v>
      </c>
      <c r="B6" s="4" t="s">
        <v>106</v>
      </c>
      <c r="C6" s="28" t="n">
        <v>13700</v>
      </c>
      <c r="D6" s="32" t="s">
        <v>107</v>
      </c>
      <c r="E6" s="18" t="n">
        <f aca="false">C6/$C$15</f>
        <v>0.112944047354059</v>
      </c>
      <c r="F6" s="28" t="n">
        <v>2791</v>
      </c>
      <c r="G6" s="4" t="s">
        <v>36</v>
      </c>
    </row>
    <row r="7" customFormat="false" ht="15" hidden="false" customHeight="false" outlineLevel="0" collapsed="false">
      <c r="A7" s="31" t="n">
        <v>3</v>
      </c>
      <c r="B7" s="4" t="s">
        <v>108</v>
      </c>
      <c r="C7" s="28" t="n">
        <v>13700</v>
      </c>
      <c r="D7" s="32" t="s">
        <v>107</v>
      </c>
      <c r="E7" s="18" t="n">
        <f aca="false">C7/$C$15</f>
        <v>0.112944047354059</v>
      </c>
      <c r="F7" s="28" t="n">
        <v>4908</v>
      </c>
      <c r="G7" s="4" t="s">
        <v>55</v>
      </c>
    </row>
    <row r="8" customFormat="false" ht="15" hidden="false" customHeight="false" outlineLevel="0" collapsed="false">
      <c r="A8" s="31" t="n">
        <v>4</v>
      </c>
      <c r="B8" s="4" t="s">
        <v>109</v>
      </c>
      <c r="C8" s="28" t="n">
        <v>12000</v>
      </c>
      <c r="D8" s="32" t="s">
        <v>107</v>
      </c>
      <c r="E8" s="18" t="n">
        <f aca="false">C8/$C$15</f>
        <v>0.0989290925728984</v>
      </c>
      <c r="F8" s="28" t="n">
        <v>3701</v>
      </c>
      <c r="G8" s="4" t="s">
        <v>59</v>
      </c>
    </row>
    <row r="9" customFormat="false" ht="15" hidden="false" customHeight="false" outlineLevel="0" collapsed="false">
      <c r="A9" s="31" t="n">
        <v>5</v>
      </c>
      <c r="B9" s="4" t="s">
        <v>110</v>
      </c>
      <c r="C9" s="28" t="n">
        <v>10900</v>
      </c>
      <c r="D9" s="32" t="s">
        <v>107</v>
      </c>
      <c r="E9" s="18" t="n">
        <f aca="false">C9/$C$15</f>
        <v>0.0898605924203827</v>
      </c>
      <c r="F9" s="28" t="n">
        <v>2540</v>
      </c>
      <c r="G9" s="4" t="s">
        <v>58</v>
      </c>
    </row>
    <row r="10" customFormat="false" ht="15" hidden="false" customHeight="false" outlineLevel="0" collapsed="false">
      <c r="A10" s="31" t="n">
        <v>6</v>
      </c>
      <c r="B10" s="4" t="s">
        <v>111</v>
      </c>
      <c r="C10" s="28" t="n">
        <v>9500</v>
      </c>
      <c r="D10" s="32" t="s">
        <v>107</v>
      </c>
      <c r="E10" s="18" t="n">
        <f aca="false">C10/$C$15</f>
        <v>0.0783188649535446</v>
      </c>
      <c r="F10" s="14" t="s">
        <v>112</v>
      </c>
      <c r="G10" s="4" t="s">
        <v>112</v>
      </c>
    </row>
    <row r="11" customFormat="false" ht="15" hidden="false" customHeight="false" outlineLevel="0" collapsed="false">
      <c r="A11" s="31" t="n">
        <v>7</v>
      </c>
      <c r="B11" s="4" t="s">
        <v>113</v>
      </c>
      <c r="C11" s="28" t="n">
        <v>7400</v>
      </c>
      <c r="D11" s="32" t="s">
        <v>107</v>
      </c>
      <c r="E11" s="18" t="n">
        <f aca="false">C11/$C$15</f>
        <v>0.0610062737532873</v>
      </c>
      <c r="F11" s="14" t="s">
        <v>112</v>
      </c>
      <c r="G11" s="4" t="s">
        <v>112</v>
      </c>
    </row>
    <row r="12" customFormat="false" ht="15" hidden="false" customHeight="false" outlineLevel="0" collapsed="false">
      <c r="A12" s="31" t="n">
        <v>8</v>
      </c>
      <c r="B12" s="4" t="s">
        <v>114</v>
      </c>
      <c r="C12" s="28" t="n">
        <v>7100</v>
      </c>
      <c r="D12" s="32" t="s">
        <v>107</v>
      </c>
      <c r="E12" s="18" t="n">
        <f aca="false">C12/$C$15</f>
        <v>0.0585330464389649</v>
      </c>
      <c r="F12" s="14" t="s">
        <v>112</v>
      </c>
      <c r="G12" s="4" t="s">
        <v>112</v>
      </c>
    </row>
    <row r="13" customFormat="false" ht="15" hidden="false" customHeight="false" outlineLevel="0" collapsed="false">
      <c r="A13" s="31" t="n">
        <v>9</v>
      </c>
      <c r="B13" s="4" t="s">
        <v>115</v>
      </c>
      <c r="C13" s="28" t="n">
        <v>6700</v>
      </c>
      <c r="D13" s="32" t="s">
        <v>107</v>
      </c>
      <c r="E13" s="18" t="n">
        <f aca="false">C13/$C$15</f>
        <v>0.0552354100198683</v>
      </c>
      <c r="F13" s="28" t="n">
        <v>2533</v>
      </c>
      <c r="G13" s="4" t="s">
        <v>58</v>
      </c>
    </row>
    <row r="14" customFormat="false" ht="15" hidden="false" customHeight="false" outlineLevel="0" collapsed="false">
      <c r="A14" s="31" t="n">
        <v>10</v>
      </c>
      <c r="B14" s="4" t="s">
        <v>116</v>
      </c>
      <c r="C14" s="28" t="n">
        <v>5900</v>
      </c>
      <c r="D14" s="32" t="s">
        <v>107</v>
      </c>
      <c r="E14" s="18" t="n">
        <f aca="false">C14/$C$15</f>
        <v>0.048640137181675</v>
      </c>
      <c r="F14" s="14" t="s">
        <v>112</v>
      </c>
      <c r="G14" s="4" t="s">
        <v>112</v>
      </c>
    </row>
    <row r="15" customFormat="false" ht="15" hidden="false" customHeight="false" outlineLevel="0" collapsed="false">
      <c r="B15" s="19" t="s">
        <v>117</v>
      </c>
      <c r="C15" s="20" t="n">
        <f aca="false">SUM(C5:C14)</f>
        <v>121299</v>
      </c>
      <c r="E15" s="22" t="n">
        <f aca="false">SUM(E5:E14)</f>
        <v>1</v>
      </c>
    </row>
    <row r="17" customFormat="false" ht="15" hidden="false" customHeight="false" outlineLevel="0" collapsed="false">
      <c r="A17" s="2" t="s">
        <v>118</v>
      </c>
    </row>
    <row r="18" customFormat="false" ht="15" hidden="false" customHeight="false" outlineLevel="0" collapsed="false">
      <c r="A18" s="2" t="s">
        <v>119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4" min="2" style="0" width="16"/>
    <col collapsed="false" customWidth="true" hidden="false" outlineLevel="0" max="5" min="5" style="0" width="18"/>
    <col collapsed="false" customWidth="true" hidden="false" outlineLevel="0" max="6" min="6" style="0" width="22"/>
    <col collapsed="false" customWidth="true" hidden="false" outlineLevel="0" max="7" min="7" style="0" width="14"/>
  </cols>
  <sheetData>
    <row r="1" customFormat="false" ht="17.35" hidden="false" customHeight="false" outlineLevel="0" collapsed="false">
      <c r="A1" s="1" t="s">
        <v>44</v>
      </c>
    </row>
    <row r="2" customFormat="false" ht="15" hidden="false" customHeight="false" outlineLevel="0" collapsed="false">
      <c r="A2" s="2" t="s">
        <v>120</v>
      </c>
    </row>
    <row r="4" customFormat="false" ht="31.5" hidden="false" customHeight="true" outlineLevel="0" collapsed="false">
      <c r="A4" s="27" t="s">
        <v>99</v>
      </c>
      <c r="B4" s="27" t="s">
        <v>121</v>
      </c>
      <c r="C4" s="27" t="s">
        <v>122</v>
      </c>
      <c r="D4" s="27" t="s">
        <v>123</v>
      </c>
      <c r="E4" s="27" t="s">
        <v>124</v>
      </c>
      <c r="F4" s="27" t="s">
        <v>125</v>
      </c>
      <c r="G4" s="27" t="s">
        <v>126</v>
      </c>
    </row>
    <row r="5" customFormat="false" ht="15" hidden="false" customHeight="false" outlineLevel="0" collapsed="false">
      <c r="A5" s="4" t="s">
        <v>127</v>
      </c>
      <c r="B5" s="28" t="n">
        <v>186510</v>
      </c>
      <c r="C5" s="30" t="n">
        <v>2.54</v>
      </c>
      <c r="D5" s="30" t="n">
        <v>3.5</v>
      </c>
      <c r="E5" s="32" t="str">
        <f aca="false">IF(C5&lt;D5,"High risk","OK")</f>
        <v>High risk</v>
      </c>
      <c r="F5" s="32" t="s">
        <v>128</v>
      </c>
      <c r="G5" s="4" t="s">
        <v>129</v>
      </c>
    </row>
    <row r="6" customFormat="false" ht="15" hidden="false" customHeight="false" outlineLevel="0" collapsed="false">
      <c r="A6" s="4" t="s">
        <v>130</v>
      </c>
      <c r="B6" s="28" t="n">
        <v>148671</v>
      </c>
      <c r="C6" s="30" t="n">
        <v>2.72</v>
      </c>
      <c r="D6" s="30" t="n">
        <v>3.5</v>
      </c>
      <c r="E6" s="32" t="str">
        <f aca="false">IF(C6&lt;D6,"High risk","OK")</f>
        <v>High risk</v>
      </c>
      <c r="F6" s="32" t="s">
        <v>128</v>
      </c>
      <c r="G6" s="4" t="s">
        <v>131</v>
      </c>
    </row>
    <row r="7" customFormat="false" ht="15" hidden="false" customHeight="false" outlineLevel="0" collapsed="false">
      <c r="A7" s="4" t="s">
        <v>132</v>
      </c>
      <c r="B7" s="28" t="n">
        <v>90990</v>
      </c>
      <c r="C7" s="30" t="n">
        <v>3.06</v>
      </c>
      <c r="D7" s="30" t="n">
        <v>3.5</v>
      </c>
      <c r="E7" s="32" t="str">
        <f aca="false">IF(C7&lt;D7,"High risk","OK")</f>
        <v>High risk</v>
      </c>
      <c r="F7" s="32" t="s">
        <v>128</v>
      </c>
      <c r="G7" s="4" t="s">
        <v>133</v>
      </c>
    </row>
    <row r="8" customFormat="false" ht="15" hidden="false" customHeight="false" outlineLevel="0" collapsed="false">
      <c r="A8" s="4" t="s">
        <v>109</v>
      </c>
      <c r="B8" s="28" t="n">
        <v>291142</v>
      </c>
      <c r="C8" s="30" t="n">
        <v>3.44</v>
      </c>
      <c r="D8" s="30" t="n">
        <v>3.5</v>
      </c>
      <c r="E8" s="32" t="str">
        <f aca="false">IF(C8&lt;D8,"High risk","OK")</f>
        <v>High risk</v>
      </c>
      <c r="F8" s="32" t="s">
        <v>134</v>
      </c>
      <c r="G8" s="4" t="s">
        <v>112</v>
      </c>
    </row>
    <row r="10" customFormat="false" ht="15" hidden="false" customHeight="false" outlineLevel="0" collapsed="false">
      <c r="A10" s="33" t="s">
        <v>135</v>
      </c>
    </row>
    <row r="11" customFormat="false" ht="15" hidden="false" customHeight="false" outlineLevel="0" collapsed="false">
      <c r="A11" s="3" t="s">
        <v>126</v>
      </c>
      <c r="B11" s="3" t="s">
        <v>99</v>
      </c>
    </row>
    <row r="12" customFormat="false" ht="15" hidden="false" customHeight="false" outlineLevel="0" collapsed="false">
      <c r="A12" s="4" t="s">
        <v>133</v>
      </c>
      <c r="B12" s="4" t="s">
        <v>132</v>
      </c>
    </row>
    <row r="13" customFormat="false" ht="15" hidden="false" customHeight="false" outlineLevel="0" collapsed="false">
      <c r="A13" s="4" t="s">
        <v>131</v>
      </c>
      <c r="B13" s="4" t="s">
        <v>130</v>
      </c>
    </row>
    <row r="14" customFormat="false" ht="15" hidden="false" customHeight="false" outlineLevel="0" collapsed="false">
      <c r="A14" s="4" t="s">
        <v>129</v>
      </c>
      <c r="B14" s="4" t="s">
        <v>127</v>
      </c>
    </row>
    <row r="15" customFormat="false" ht="15" hidden="false" customHeight="false" outlineLevel="0" collapsed="false">
      <c r="A15" s="4" t="s">
        <v>136</v>
      </c>
      <c r="B15" s="4" t="s">
        <v>137</v>
      </c>
    </row>
    <row r="16" customFormat="false" ht="15" hidden="false" customHeight="false" outlineLevel="0" collapsed="false">
      <c r="A16" s="4" t="s">
        <v>138</v>
      </c>
      <c r="B16" s="4" t="s">
        <v>139</v>
      </c>
    </row>
    <row r="17" customFormat="false" ht="15" hidden="false" customHeight="false" outlineLevel="0" collapsed="false">
      <c r="A17" s="4" t="s">
        <v>140</v>
      </c>
      <c r="B17" s="4" t="s">
        <v>141</v>
      </c>
    </row>
    <row r="19" customFormat="false" ht="15" hidden="false" customHeight="false" outlineLevel="0" collapsed="false">
      <c r="A19" s="2" t="s">
        <v>142</v>
      </c>
    </row>
  </sheetData>
  <conditionalFormatting sqref="E5:E8">
    <cfRule type="cellIs" priority="2" operator="equal" aboveAverage="0" equalAverage="0" bottom="0" percent="0" rank="0" text="" dxfId="0">
      <formula>"High risk"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0"/>
    <col collapsed="false" customWidth="true" hidden="false" outlineLevel="0" max="3" min="3" style="0" width="22"/>
    <col collapsed="false" customWidth="true" hidden="false" outlineLevel="0" max="4" min="4" style="0" width="20"/>
  </cols>
  <sheetData>
    <row r="1" customFormat="false" ht="17.35" hidden="false" customHeight="false" outlineLevel="0" collapsed="false">
      <c r="A1" s="1" t="s">
        <v>143</v>
      </c>
    </row>
    <row r="2" customFormat="false" ht="15" hidden="false" customHeight="false" outlineLevel="0" collapsed="false">
      <c r="A2" s="2" t="s">
        <v>144</v>
      </c>
    </row>
    <row r="4" customFormat="false" ht="31.5" hidden="false" customHeight="true" outlineLevel="0" collapsed="false">
      <c r="A4" s="27" t="s">
        <v>145</v>
      </c>
      <c r="B4" s="27" t="s">
        <v>146</v>
      </c>
      <c r="C4" s="27" t="s">
        <v>147</v>
      </c>
      <c r="D4" s="27" t="s">
        <v>148</v>
      </c>
    </row>
    <row r="5" customFormat="false" ht="15" hidden="false" customHeight="false" outlineLevel="0" collapsed="false">
      <c r="A5" s="4" t="s">
        <v>127</v>
      </c>
      <c r="B5" s="31" t="n">
        <v>11</v>
      </c>
      <c r="C5" s="31" t="n">
        <v>30</v>
      </c>
      <c r="D5" s="32" t="str">
        <f aca="false">IF(B5&lt;C5,"Renewal Due Soon","Active")</f>
        <v>Renewal Due Soon</v>
      </c>
    </row>
    <row r="6" customFormat="false" ht="15" hidden="false" customHeight="false" outlineLevel="0" collapsed="false">
      <c r="A6" s="4" t="s">
        <v>139</v>
      </c>
      <c r="B6" s="31" t="n">
        <v>20</v>
      </c>
      <c r="C6" s="31" t="n">
        <v>30</v>
      </c>
      <c r="D6" s="32" t="str">
        <f aca="false">IF(B6&lt;C6,"Renewal Due Soon","Active")</f>
        <v>Renewal Due Soon</v>
      </c>
    </row>
    <row r="7" customFormat="false" ht="15" hidden="false" customHeight="false" outlineLevel="0" collapsed="false">
      <c r="A7" s="4" t="s">
        <v>149</v>
      </c>
      <c r="B7" s="31" t="n">
        <v>24</v>
      </c>
      <c r="C7" s="31" t="n">
        <v>30</v>
      </c>
      <c r="D7" s="32" t="str">
        <f aca="false">IF(B7&lt;C7,"Renewal Due Soon","Active")</f>
        <v>Renewal Due Soon</v>
      </c>
    </row>
    <row r="8" customFormat="false" ht="15" hidden="false" customHeight="false" outlineLevel="0" collapsed="false">
      <c r="A8" s="4" t="s">
        <v>150</v>
      </c>
      <c r="B8" s="31" t="n">
        <v>24</v>
      </c>
      <c r="C8" s="31" t="n">
        <v>30</v>
      </c>
      <c r="D8" s="32" t="str">
        <f aca="false">IF(B8&lt;C8,"Renewal Due Soon","Active")</f>
        <v>Renewal Due Soon</v>
      </c>
    </row>
    <row r="9" customFormat="false" ht="15" hidden="false" customHeight="false" outlineLevel="0" collapsed="false">
      <c r="A9" s="4" t="s">
        <v>114</v>
      </c>
      <c r="B9" s="31" t="n">
        <v>29</v>
      </c>
      <c r="C9" s="31" t="n">
        <v>30</v>
      </c>
      <c r="D9" s="32" t="str">
        <f aca="false">IF(B9&lt;C9,"Renewal Due Soon","Active")</f>
        <v>Renewal Due Soon</v>
      </c>
    </row>
    <row r="10" customFormat="false" ht="15" hidden="false" customHeight="false" outlineLevel="0" collapsed="false">
      <c r="A10" s="4" t="s">
        <v>151</v>
      </c>
      <c r="B10" s="31" t="n">
        <v>44</v>
      </c>
      <c r="C10" s="31" t="n">
        <v>30</v>
      </c>
      <c r="D10" s="32" t="str">
        <f aca="false">IF(B10&lt;C10,"Renewal Due Soon","Active")</f>
        <v>Active</v>
      </c>
    </row>
    <row r="11" customFormat="false" ht="15" hidden="false" customHeight="false" outlineLevel="0" collapsed="false">
      <c r="A11" s="4" t="s">
        <v>152</v>
      </c>
      <c r="B11" s="31" t="n">
        <v>48</v>
      </c>
      <c r="C11" s="31" t="n">
        <v>30</v>
      </c>
      <c r="D11" s="32" t="str">
        <f aca="false">IF(B11&lt;C11,"Renewal Due Soon","Active")</f>
        <v>Active</v>
      </c>
    </row>
    <row r="12" customFormat="false" ht="15" hidden="false" customHeight="false" outlineLevel="0" collapsed="false">
      <c r="A12" s="4" t="s">
        <v>132</v>
      </c>
      <c r="B12" s="31" t="n">
        <v>60</v>
      </c>
      <c r="C12" s="31" t="n">
        <v>30</v>
      </c>
      <c r="D12" s="32" t="str">
        <f aca="false">IF(B12&lt;C12,"Renewal Due Soon","Active")</f>
        <v>Active</v>
      </c>
    </row>
    <row r="13" customFormat="false" ht="15" hidden="false" customHeight="false" outlineLevel="0" collapsed="false">
      <c r="A13" s="4" t="s">
        <v>153</v>
      </c>
      <c r="B13" s="31" t="n">
        <v>61</v>
      </c>
      <c r="C13" s="31" t="n">
        <v>30</v>
      </c>
      <c r="D13" s="32" t="str">
        <f aca="false">IF(B13&lt;C13,"Renewal Due Soon","Active")</f>
        <v>Active</v>
      </c>
    </row>
    <row r="14" customFormat="false" ht="15" hidden="false" customHeight="false" outlineLevel="0" collapsed="false">
      <c r="A14" s="4" t="s">
        <v>154</v>
      </c>
      <c r="B14" s="31" t="n">
        <v>63</v>
      </c>
      <c r="C14" s="31" t="n">
        <v>30</v>
      </c>
      <c r="D14" s="32" t="str">
        <f aca="false">IF(B14&lt;C14,"Renewal Due Soon","Active")</f>
        <v>Active</v>
      </c>
    </row>
    <row r="16" customFormat="false" ht="15" hidden="false" customHeight="false" outlineLevel="0" collapsed="false">
      <c r="A16" s="19" t="s">
        <v>155</v>
      </c>
      <c r="B16" s="26" t="n">
        <f aca="false">COUNTIF(D5:D14,"Renewal Due Soon")</f>
        <v>5</v>
      </c>
    </row>
  </sheetData>
  <conditionalFormatting sqref="D5:D14">
    <cfRule type="cellIs" priority="2" operator="equal" aboveAverage="0" equalAverage="0" bottom="0" percent="0" rank="0" text="" dxfId="1">
      <formula>"Renewal Due Soon"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156</v>
      </c>
    </row>
    <row r="3" customFormat="false" ht="15" hidden="false" customHeight="false" outlineLevel="0" collapsed="false">
      <c r="A3" s="34" t="s">
        <v>157</v>
      </c>
    </row>
    <row r="4" customFormat="false" ht="23.85" hidden="false" customHeight="false" outlineLevel="0" collapsed="false">
      <c r="A4" s="34" t="s">
        <v>158</v>
      </c>
    </row>
    <row r="5" customFormat="false" ht="15" hidden="false" customHeight="false" outlineLevel="0" collapsed="false">
      <c r="A5" s="34" t="s">
        <v>159</v>
      </c>
    </row>
    <row r="6" customFormat="false" ht="15" hidden="false" customHeight="false" outlineLevel="0" collapsed="false">
      <c r="A6" s="34" t="s">
        <v>160</v>
      </c>
    </row>
    <row r="7" customFormat="false" ht="15" hidden="false" customHeight="false" outlineLevel="0" collapsed="false">
      <c r="A7" s="34" t="s">
        <v>161</v>
      </c>
    </row>
    <row r="8" customFormat="false" ht="23.85" hidden="false" customHeight="false" outlineLevel="0" collapsed="false">
      <c r="A8" s="34" t="s">
        <v>162</v>
      </c>
    </row>
    <row r="9" customFormat="false" ht="15" hidden="false" customHeight="false" outlineLevel="0" collapsed="false">
      <c r="A9" s="34" t="s">
        <v>163</v>
      </c>
    </row>
    <row r="10" customFormat="false" ht="23.85" hidden="false" customHeight="false" outlineLevel="0" collapsed="false">
      <c r="A10" s="34" t="s">
        <v>164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2026-10-13T05:52:14Z</dcterms:created>
  <dc:creator>openpyxl</dc:creator>
  <dc:description/>
  <dc:language>en-US</dc:language>
  <cp:lastModifiedBy/>
  <dcterms:modified xsi:type="dcterms:W3CDTF">2026-10-13T05:52:16Z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